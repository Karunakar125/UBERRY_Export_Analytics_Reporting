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iswa\UBERRY\AI_Implementation\"/>
    </mc:Choice>
  </mc:AlternateContent>
  <xr:revisionPtr revIDLastSave="0" documentId="13_ncr:1_{8425F132-1B43-4EED-9451-910C29747B32}" xr6:coauthVersionLast="47" xr6:coauthVersionMax="47" xr10:uidLastSave="{00000000-0000-0000-0000-000000000000}"/>
  <bookViews>
    <workbookView xWindow="-108" yWindow="-108" windowWidth="23256" windowHeight="12456" xr2:uid="{15CF7953-D229-4412-9ED6-D65A264431A6}"/>
  </bookViews>
  <sheets>
    <sheet name="Dispatch_fa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9" i="1" l="1"/>
  <c r="A59" i="1" s="1"/>
  <c r="B58" i="1"/>
  <c r="A58" i="1" s="1"/>
  <c r="B57" i="1"/>
  <c r="A57" i="1"/>
  <c r="B56" i="1"/>
  <c r="A56" i="1" s="1"/>
  <c r="B55" i="1"/>
  <c r="A55" i="1" s="1"/>
  <c r="B54" i="1"/>
  <c r="A54" i="1" s="1"/>
  <c r="B53" i="1"/>
  <c r="A53" i="1"/>
  <c r="B52" i="1"/>
  <c r="A52" i="1" s="1"/>
  <c r="B51" i="1"/>
  <c r="A51" i="1"/>
  <c r="B50" i="1"/>
  <c r="A50" i="1" s="1"/>
  <c r="B49" i="1"/>
  <c r="A49" i="1" s="1"/>
  <c r="B48" i="1"/>
  <c r="A48" i="1"/>
  <c r="B47" i="1"/>
  <c r="A47" i="1"/>
  <c r="B46" i="1"/>
  <c r="A46" i="1" s="1"/>
  <c r="B45" i="1"/>
  <c r="A45" i="1"/>
  <c r="B44" i="1"/>
  <c r="A44" i="1" s="1"/>
  <c r="B43" i="1"/>
  <c r="A43" i="1" s="1"/>
  <c r="B42" i="1"/>
  <c r="A42" i="1"/>
  <c r="B41" i="1"/>
  <c r="A41" i="1"/>
  <c r="B40" i="1"/>
  <c r="A40" i="1" s="1"/>
  <c r="B39" i="1"/>
  <c r="A39" i="1"/>
  <c r="B38" i="1"/>
  <c r="A38" i="1" s="1"/>
  <c r="B37" i="1"/>
  <c r="A37" i="1" s="1"/>
  <c r="B36" i="1"/>
  <c r="A36" i="1"/>
  <c r="B35" i="1"/>
  <c r="A35" i="1"/>
  <c r="B34" i="1"/>
  <c r="A34" i="1" s="1"/>
  <c r="B33" i="1"/>
  <c r="A33" i="1"/>
  <c r="B32" i="1"/>
  <c r="A32" i="1" s="1"/>
  <c r="B31" i="1"/>
  <c r="A31" i="1" s="1"/>
  <c r="B30" i="1"/>
  <c r="A30" i="1"/>
  <c r="B29" i="1"/>
  <c r="A29" i="1"/>
  <c r="B28" i="1"/>
  <c r="A28" i="1" s="1"/>
  <c r="B27" i="1"/>
  <c r="A27" i="1"/>
  <c r="B26" i="1"/>
  <c r="A26" i="1" s="1"/>
  <c r="B25" i="1"/>
  <c r="A25" i="1" s="1"/>
  <c r="B24" i="1"/>
  <c r="A24" i="1"/>
  <c r="B23" i="1"/>
  <c r="A23" i="1"/>
  <c r="B22" i="1"/>
  <c r="A22" i="1" s="1"/>
  <c r="B21" i="1"/>
  <c r="A21" i="1"/>
  <c r="B20" i="1"/>
  <c r="A20" i="1" s="1"/>
  <c r="B19" i="1"/>
  <c r="A19" i="1" s="1"/>
  <c r="B18" i="1"/>
  <c r="A18" i="1"/>
  <c r="B17" i="1"/>
  <c r="A17" i="1"/>
  <c r="B16" i="1"/>
  <c r="A16" i="1" s="1"/>
  <c r="B15" i="1"/>
  <c r="A15" i="1"/>
  <c r="B14" i="1"/>
  <c r="A14" i="1" s="1"/>
  <c r="B13" i="1"/>
  <c r="A13" i="1" s="1"/>
  <c r="B12" i="1"/>
  <c r="A12" i="1"/>
  <c r="B11" i="1"/>
  <c r="A11" i="1"/>
  <c r="B10" i="1"/>
  <c r="A10" i="1" s="1"/>
  <c r="B9" i="1"/>
  <c r="A9" i="1"/>
  <c r="B8" i="1"/>
  <c r="A8" i="1" s="1"/>
  <c r="B7" i="1"/>
  <c r="A7" i="1" s="1"/>
  <c r="B6" i="1"/>
  <c r="A6" i="1"/>
  <c r="B5" i="1"/>
  <c r="A5" i="1"/>
  <c r="B4" i="1"/>
  <c r="A4" i="1" s="1"/>
  <c r="B3" i="1"/>
  <c r="A3" i="1"/>
  <c r="B2" i="1"/>
  <c r="A2" i="1" s="1"/>
</calcChain>
</file>

<file path=xl/sharedStrings.xml><?xml version="1.0" encoding="utf-8"?>
<sst xmlns="http://schemas.openxmlformats.org/spreadsheetml/2006/main" count="570" uniqueCount="199">
  <si>
    <t>DISPATCH_PK</t>
  </si>
  <si>
    <t>BATCH_LOT_KEY</t>
  </si>
  <si>
    <t>UNIT</t>
  </si>
  <si>
    <t>CUSTOMER</t>
  </si>
  <si>
    <t>CROP</t>
  </si>
  <si>
    <t>EXPORT_INVOICE_NUMBER</t>
  </si>
  <si>
    <t>SUPPLIER INVOICE NO.</t>
  </si>
  <si>
    <t>CONTAINER No.</t>
  </si>
  <si>
    <t>FCL</t>
  </si>
  <si>
    <t>AMP-TMP</t>
  </si>
  <si>
    <t>ACTUAL BATCH</t>
  </si>
  <si>
    <t>GIVEN BATCH-CODE</t>
  </si>
  <si>
    <t>QTY_DISPATCHED</t>
  </si>
  <si>
    <t>DRUM NO.</t>
  </si>
  <si>
    <t>REMARKS</t>
  </si>
  <si>
    <t>30.04.2025</t>
  </si>
  <si>
    <t>PAVITHRAN</t>
  </si>
  <si>
    <t>QD</t>
  </si>
  <si>
    <t>UB/EXP/20250002, DT.29.04.2025</t>
  </si>
  <si>
    <t>50 &amp; 51</t>
  </si>
  <si>
    <t>OOLU 094236-6</t>
  </si>
  <si>
    <t xml:space="preserve">AMP </t>
  </si>
  <si>
    <t>UBIAMP 020624</t>
  </si>
  <si>
    <t>241-320</t>
  </si>
  <si>
    <t>01.05.2025</t>
  </si>
  <si>
    <t>TLLU 330378-0</t>
  </si>
  <si>
    <t>321-400</t>
  </si>
  <si>
    <t>11.07.2025</t>
  </si>
  <si>
    <t>UB/EXP/20250007, DT.11.07.2025</t>
  </si>
  <si>
    <t>TIIU 237393-9</t>
  </si>
  <si>
    <t>UBIAMP 290525</t>
  </si>
  <si>
    <t>1-80</t>
  </si>
  <si>
    <t>12.07.2025</t>
  </si>
  <si>
    <t>CSLU 236184-9</t>
  </si>
  <si>
    <t>081-160</t>
  </si>
  <si>
    <t>25.07.2025</t>
  </si>
  <si>
    <t>AC</t>
  </si>
  <si>
    <t>UB/EXP/20250010, DT.25.07.2025</t>
  </si>
  <si>
    <t>65 &amp; 66</t>
  </si>
  <si>
    <t>SEGU 386685-2</t>
  </si>
  <si>
    <t>UBIAMP 200525</t>
  </si>
  <si>
    <t>00-080</t>
  </si>
  <si>
    <t>CAAU 256360-9</t>
  </si>
  <si>
    <t>AMP</t>
  </si>
  <si>
    <t>05.08.2025</t>
  </si>
  <si>
    <t>IRCA</t>
  </si>
  <si>
    <t>UB/EXP/20250012, DT.05.08.2025</t>
  </si>
  <si>
    <t>MSMU 497366-2</t>
  </si>
  <si>
    <t>UBIAMP 080625</t>
  </si>
  <si>
    <t>001-112</t>
  </si>
  <si>
    <t>UB/EXP/20250013, DT.05.08.2025</t>
  </si>
  <si>
    <t>MSMU 620569-0</t>
  </si>
  <si>
    <t>113-224</t>
  </si>
  <si>
    <t>06.08.2025</t>
  </si>
  <si>
    <t>UB/EXP/20250014, DT.06.08.2025</t>
  </si>
  <si>
    <t>FFAU 374231-0</t>
  </si>
  <si>
    <t>225-336</t>
  </si>
  <si>
    <t>UB/EXP/20250015, DT.06.08.2025</t>
  </si>
  <si>
    <t>MSMU 713878-6</t>
  </si>
  <si>
    <t>337-448</t>
  </si>
  <si>
    <t>13.08.2025</t>
  </si>
  <si>
    <t>PONNI</t>
  </si>
  <si>
    <t>UB/EXP/20250017, DT.13.08.2025</t>
  </si>
  <si>
    <t>TRHU 188718-7</t>
  </si>
  <si>
    <t>TMP</t>
  </si>
  <si>
    <t>UBITMP 100725</t>
  </si>
  <si>
    <t>001-080</t>
  </si>
  <si>
    <t>17.08.2025</t>
  </si>
  <si>
    <t>FNV WEST</t>
  </si>
  <si>
    <t>UB/EXP/20250018, DT.17.08.2025</t>
  </si>
  <si>
    <t>MSBU 660650-7</t>
  </si>
  <si>
    <t>UBIAMP 250625</t>
  </si>
  <si>
    <t>18.08.2025</t>
  </si>
  <si>
    <t>AMUDHA</t>
  </si>
  <si>
    <t>UB/EXP/20250019, DT.18.08.2025</t>
  </si>
  <si>
    <t>MSMU 774863-9</t>
  </si>
  <si>
    <t>NMP</t>
  </si>
  <si>
    <t>UBINMP 180725</t>
  </si>
  <si>
    <t>01-112</t>
  </si>
  <si>
    <t>BEAU 566734-9</t>
  </si>
  <si>
    <t>19.08.2025</t>
  </si>
  <si>
    <t>UB/EXP/20250020, DT.19.08.2025</t>
  </si>
  <si>
    <t>MSNU 793979-4</t>
  </si>
  <si>
    <t>MSMU 680479-0</t>
  </si>
  <si>
    <t>20.08.2025</t>
  </si>
  <si>
    <t>UB/EXP/20250021, DT.20.08.2025</t>
  </si>
  <si>
    <t>SEGU 185754-8</t>
  </si>
  <si>
    <t>161-240</t>
  </si>
  <si>
    <t>24.08.2025</t>
  </si>
  <si>
    <t>AF</t>
  </si>
  <si>
    <t>UB/EXP/20250022, DT.24.08.2025</t>
  </si>
  <si>
    <t>CMAU 689874-0</t>
  </si>
  <si>
    <t>UBIAMP 170525</t>
  </si>
  <si>
    <t>TCNU 297085-3</t>
  </si>
  <si>
    <t>25.08.2025</t>
  </si>
  <si>
    <t>UB/EXP/20250023, DT.25.08.2025</t>
  </si>
  <si>
    <t>ECMU 720582-2</t>
  </si>
  <si>
    <t>UETU 711564-1</t>
  </si>
  <si>
    <t>04.09.2025</t>
  </si>
  <si>
    <t>UB/EXP/20250024, DT.04.09.2025</t>
  </si>
  <si>
    <t>CAAU 881098-5</t>
  </si>
  <si>
    <t>449-560</t>
  </si>
  <si>
    <t>UBIAMP 230525</t>
  </si>
  <si>
    <t>113-145</t>
  </si>
  <si>
    <t>ONEU 566071-8</t>
  </si>
  <si>
    <t>05.09.2025</t>
  </si>
  <si>
    <t>UB/EXP/20250025, DT.05.09.2025</t>
  </si>
  <si>
    <t>TEMU 874267-6</t>
  </si>
  <si>
    <t>TCLU 969342-9</t>
  </si>
  <si>
    <t>561-672</t>
  </si>
  <si>
    <t>09.09.2025</t>
  </si>
  <si>
    <t>UB/EXP/20250026, DT.09.09.2025</t>
  </si>
  <si>
    <t>ONEU 597877-7</t>
  </si>
  <si>
    <t>UBINMP 270725</t>
  </si>
  <si>
    <t xml:space="preserve"> UBINMP 180725</t>
  </si>
  <si>
    <t>TCNU 443303-0</t>
  </si>
  <si>
    <t xml:space="preserve"> UBINMP 180725 </t>
  </si>
  <si>
    <t>11.09.2025</t>
  </si>
  <si>
    <t>UB/EXP/20250027, DT.11.09.2025</t>
  </si>
  <si>
    <t>ONEU 223842-1</t>
  </si>
  <si>
    <t xml:space="preserve">UBIAMP 230525 </t>
  </si>
  <si>
    <t>UBI LOGO &amp; WEB SITE PRINTED</t>
  </si>
  <si>
    <t>ONEU 215506-0</t>
  </si>
  <si>
    <t>UB/EXP/20250028, DT.11.09.2025</t>
  </si>
  <si>
    <t>ONEU 108608-9</t>
  </si>
  <si>
    <t>UBITMP 060725</t>
  </si>
  <si>
    <t>4 STRAPS &amp; PLASTIC SEALS USED</t>
  </si>
  <si>
    <t>TXGU 406212-2</t>
  </si>
  <si>
    <t>18.09.2025</t>
  </si>
  <si>
    <t>UB/EXP/20250030, DT.17.09.2025</t>
  </si>
  <si>
    <t>OOCU 037944-6</t>
  </si>
  <si>
    <t>81-160</t>
  </si>
  <si>
    <t>PLASTIC SEALS</t>
  </si>
  <si>
    <t>AP</t>
  </si>
  <si>
    <t>UB/EXP/20250031, DT.18.09.2025</t>
  </si>
  <si>
    <t>TIIU 212222-9</t>
  </si>
  <si>
    <t>UBITMP 060725 -52</t>
  </si>
  <si>
    <t>561-640</t>
  </si>
  <si>
    <t xml:space="preserve"> UBITMP 070725</t>
  </si>
  <si>
    <t>23.09.2025</t>
  </si>
  <si>
    <t>UB/EXP/20250033, DT.23.09.2025</t>
  </si>
  <si>
    <t>ONEU 506964-4</t>
  </si>
  <si>
    <t>UB/EXP/20250032, DT.23.09.2025</t>
  </si>
  <si>
    <t>ONEU 047044-3</t>
  </si>
  <si>
    <t>14.10.2025</t>
  </si>
  <si>
    <t>UB/EXP/20250036, DT.14.10.2025</t>
  </si>
  <si>
    <t>ONEU 135733-9</t>
  </si>
  <si>
    <t xml:space="preserve"> UBIAMP 210525</t>
  </si>
  <si>
    <t>ONEU 593333-0</t>
  </si>
  <si>
    <t>UBIAMP 210525</t>
  </si>
  <si>
    <t>17.10.2025</t>
  </si>
  <si>
    <t>UB/EXP/20250037, DT.17.10.2025</t>
  </si>
  <si>
    <t>ONEU 317164-1</t>
  </si>
  <si>
    <t>2 STRAPS &amp; 20 PALLETS</t>
  </si>
  <si>
    <t>22.10.2025</t>
  </si>
  <si>
    <t>UB/EXP/20250038, DT.22.10.2025</t>
  </si>
  <si>
    <t>ONEU 502989-4</t>
  </si>
  <si>
    <t>UBITMP 090725</t>
  </si>
  <si>
    <t>2 STRAPS &amp; 28 PALLETS</t>
  </si>
  <si>
    <t>ONEU 176610-5</t>
  </si>
  <si>
    <t>27.10.2025</t>
  </si>
  <si>
    <t>UB/EXP/20250040, DT.27.10.2025</t>
  </si>
  <si>
    <t>TCNU 482267-0</t>
  </si>
  <si>
    <t>UBIAMP 070625</t>
  </si>
  <si>
    <t>001-113</t>
  </si>
  <si>
    <t>UB/EXP/20250041, DT.27.10.2025</t>
  </si>
  <si>
    <t>ONEU 081073-3</t>
  </si>
  <si>
    <t>10.11.2025</t>
  </si>
  <si>
    <t>UB/EXP/20250042A, DT.10.11.2025</t>
  </si>
  <si>
    <t>MTMU 288971-8</t>
  </si>
  <si>
    <t>PGP</t>
  </si>
  <si>
    <t>PAFPPGP 300825</t>
  </si>
  <si>
    <t>UBIPGP 300825</t>
  </si>
  <si>
    <t>001-016</t>
  </si>
  <si>
    <t>WITHOUT PALLET AND 800 AMP3.1KG CAN CARTONS LOADED</t>
  </si>
  <si>
    <t>12.11.2025</t>
  </si>
  <si>
    <t>UB/EXP/20250043, DT.12.11.2025</t>
  </si>
  <si>
    <t>GAOU 737342-9</t>
  </si>
  <si>
    <t>13.11.2025</t>
  </si>
  <si>
    <t>UB/EXP/20250044, DT.13.11.2025</t>
  </si>
  <si>
    <t>MSMU 462232-8</t>
  </si>
  <si>
    <t>MSCU 531057-7</t>
  </si>
  <si>
    <t>336-448</t>
  </si>
  <si>
    <t>05.12.2025</t>
  </si>
  <si>
    <t>UB/EXP/20250045, DT.05.12.2025</t>
  </si>
  <si>
    <t>TGCU 234306-0</t>
  </si>
  <si>
    <t>UB/EXP/20250046, DT.05.12.2025</t>
  </si>
  <si>
    <t>TGBU 318146-4</t>
  </si>
  <si>
    <t>UBITMP 080725</t>
  </si>
  <si>
    <t>08.12.2025</t>
  </si>
  <si>
    <t>UB/EXP/20250047, DT.08.12.2025</t>
  </si>
  <si>
    <t>CMAU 712584-8</t>
  </si>
  <si>
    <t>UBITMP 070725</t>
  </si>
  <si>
    <t>CMAU 337641-8</t>
  </si>
  <si>
    <t>10.12.2025</t>
  </si>
  <si>
    <t>UB/EXP/20250048, DT.10.12.2025</t>
  </si>
  <si>
    <t>MSNU 737376-8</t>
  </si>
  <si>
    <t>MSNU 965481-0</t>
  </si>
  <si>
    <t>DISPATCH_DATE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</si>
</sst>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name val="Calibri"/>
      <family val="2"/>
    </font>
    <font>
      <b/>
      <sz val="11"/>
      <name val="Aptos Narrow"/>
      <family val="2"/>
      <scheme val="minor"/>
    </font>
    <font>
      <b/>
      <sz val="10"/>
      <name val="Calibri"/>
      <family val="2"/>
    </font>
    <font>
      <sz val="12"/>
      <name val="Calibri"/>
      <family val="2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name val="Arial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1" fillId="0" borderId="0"/>
  </cellStyleXfs>
  <cellXfs count="59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/>
    <xf numFmtId="14" fontId="3" fillId="2" borderId="2" xfId="0" applyNumberFormat="1" applyFont="1" applyFill="1" applyBorder="1" applyAlignment="1">
      <alignment horizontal="left"/>
    </xf>
    <xf numFmtId="0" fontId="4" fillId="2" borderId="2" xfId="0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0" fontId="1" fillId="2" borderId="0" xfId="0" applyFont="1" applyFill="1"/>
    <xf numFmtId="0" fontId="5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left"/>
    </xf>
    <xf numFmtId="0" fontId="0" fillId="0" borderId="1" xfId="0" applyBorder="1"/>
    <xf numFmtId="49" fontId="6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49" fontId="8" fillId="4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/>
    </xf>
    <xf numFmtId="49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left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12" fillId="3" borderId="8" xfId="0" applyFont="1" applyFill="1" applyBorder="1" applyAlignment="1">
      <alignment horizontal="left" vertical="center"/>
    </xf>
    <xf numFmtId="49" fontId="12" fillId="0" borderId="1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49" fontId="9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/>
    </xf>
  </cellXfs>
  <cellStyles count="2">
    <cellStyle name="Normal" xfId="0" builtinId="0"/>
    <cellStyle name="Normal 4" xfId="1" xr:uid="{9912DA53-8693-43C7-809D-0943C7EEF60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A14BF-EF97-4BA5-A89B-ECC33E542A4F}">
  <dimension ref="A1:P59"/>
  <sheetViews>
    <sheetView tabSelected="1" workbookViewId="0">
      <selection activeCell="B2" sqref="B2"/>
    </sheetView>
  </sheetViews>
  <sheetFormatPr defaultRowHeight="14.4" x14ac:dyDescent="0.3"/>
  <cols>
    <col min="1" max="1" width="73.44140625" bestFit="1" customWidth="1"/>
    <col min="2" max="2" width="21.77734375" bestFit="1" customWidth="1"/>
    <col min="3" max="3" width="14.109375" bestFit="1" customWidth="1"/>
    <col min="4" max="4" width="10.5546875" bestFit="1" customWidth="1"/>
    <col min="5" max="5" width="10.33203125" bestFit="1" customWidth="1"/>
    <col min="6" max="6" width="5.77734375" bestFit="1" customWidth="1"/>
    <col min="7" max="7" width="23.77734375" bestFit="1" customWidth="1"/>
    <col min="8" max="8" width="19.33203125" bestFit="1" customWidth="1"/>
    <col min="9" max="9" width="16.33203125" bestFit="1" customWidth="1"/>
    <col min="10" max="10" width="4.33203125" bestFit="1" customWidth="1"/>
    <col min="11" max="11" width="8.77734375" bestFit="1" customWidth="1"/>
    <col min="12" max="12" width="15.5546875" bestFit="1" customWidth="1"/>
    <col min="13" max="13" width="18" bestFit="1" customWidth="1"/>
    <col min="14" max="14" width="15.88671875" bestFit="1" customWidth="1"/>
    <col min="15" max="15" width="9.5546875" bestFit="1" customWidth="1"/>
    <col min="16" max="16" width="51.77734375" bestFit="1" customWidth="1"/>
  </cols>
  <sheetData>
    <row r="1" spans="1:16" ht="16.2" thickBot="1" x14ac:dyDescent="0.35">
      <c r="A1" s="1" t="s">
        <v>0</v>
      </c>
      <c r="B1" s="2" t="s">
        <v>1</v>
      </c>
      <c r="C1" s="3" t="s">
        <v>198</v>
      </c>
      <c r="D1" s="4" t="s">
        <v>2</v>
      </c>
      <c r="E1" s="5" t="s">
        <v>3</v>
      </c>
      <c r="F1" s="6" t="s">
        <v>4</v>
      </c>
      <c r="G1" s="7" t="s">
        <v>5</v>
      </c>
      <c r="H1" s="8" t="s">
        <v>6</v>
      </c>
      <c r="I1" s="9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1" t="s">
        <v>12</v>
      </c>
      <c r="O1" s="11" t="s">
        <v>13</v>
      </c>
      <c r="P1" s="12" t="s">
        <v>14</v>
      </c>
    </row>
    <row r="2" spans="1:16" ht="78" x14ac:dyDescent="0.3">
      <c r="A2" s="13" t="str">
        <f>_xlfn.CONCAT(C2,G2,I2,B2)</f>
        <v>30.04.2025UB/EXP/20250002, DT.29.04.2025OOLU 094236-6UBIAMP 020624_241-320</v>
      </c>
      <c r="B2" s="13" t="str">
        <f t="shared" ref="B2:B59" si="0">_xlfn.CONCAT(M2,"_",O2)</f>
        <v>UBIAMP 020624_241-320</v>
      </c>
      <c r="C2" s="14" t="s">
        <v>15</v>
      </c>
      <c r="D2" s="15" t="s">
        <v>16</v>
      </c>
      <c r="E2" s="16" t="s">
        <v>17</v>
      </c>
      <c r="F2" s="17">
        <v>2024</v>
      </c>
      <c r="G2" s="18" t="s">
        <v>18</v>
      </c>
      <c r="H2" s="18" t="s">
        <v>19</v>
      </c>
      <c r="I2" s="19" t="s">
        <v>20</v>
      </c>
      <c r="J2" s="19">
        <v>1</v>
      </c>
      <c r="K2" s="20" t="s">
        <v>21</v>
      </c>
      <c r="L2" s="21" t="s">
        <v>22</v>
      </c>
      <c r="M2" s="21" t="s">
        <v>22</v>
      </c>
      <c r="N2" s="16">
        <v>80</v>
      </c>
      <c r="O2" s="22" t="s">
        <v>23</v>
      </c>
      <c r="P2" s="23"/>
    </row>
    <row r="3" spans="1:16" ht="78" x14ac:dyDescent="0.3">
      <c r="A3" s="13" t="str">
        <f t="shared" ref="A3:A59" si="1">_xlfn.CONCAT(C3,G3,I3,B3)</f>
        <v>01.05.2025UB/EXP/20250002, DT.29.04.2025TLLU 330378-0UBIAMP 020624_321-400</v>
      </c>
      <c r="B3" s="13" t="str">
        <f t="shared" si="0"/>
        <v>UBIAMP 020624_321-400</v>
      </c>
      <c r="C3" s="14" t="s">
        <v>24</v>
      </c>
      <c r="D3" s="15" t="s">
        <v>16</v>
      </c>
      <c r="E3" s="16" t="s">
        <v>17</v>
      </c>
      <c r="F3" s="17">
        <v>2024</v>
      </c>
      <c r="G3" s="18" t="s">
        <v>18</v>
      </c>
      <c r="H3" s="18" t="s">
        <v>19</v>
      </c>
      <c r="I3" s="19" t="s">
        <v>25</v>
      </c>
      <c r="J3" s="19">
        <v>1</v>
      </c>
      <c r="K3" s="20" t="s">
        <v>21</v>
      </c>
      <c r="L3" s="21" t="s">
        <v>22</v>
      </c>
      <c r="M3" s="21" t="s">
        <v>22</v>
      </c>
      <c r="N3" s="16">
        <v>80</v>
      </c>
      <c r="O3" s="22" t="s">
        <v>26</v>
      </c>
      <c r="P3" s="23"/>
    </row>
    <row r="4" spans="1:16" ht="78" x14ac:dyDescent="0.3">
      <c r="A4" s="13" t="str">
        <f t="shared" si="1"/>
        <v>11.07.2025UB/EXP/20250007, DT.11.07.2025TIIU 237393-9UBIAMP 290525_1-80</v>
      </c>
      <c r="B4" s="13" t="str">
        <f t="shared" si="0"/>
        <v>UBIAMP 290525_1-80</v>
      </c>
      <c r="C4" s="14" t="s">
        <v>27</v>
      </c>
      <c r="D4" s="15" t="s">
        <v>16</v>
      </c>
      <c r="E4" s="16" t="s">
        <v>17</v>
      </c>
      <c r="F4" s="24">
        <v>2025</v>
      </c>
      <c r="G4" s="18" t="s">
        <v>28</v>
      </c>
      <c r="H4" s="25" t="s">
        <v>19</v>
      </c>
      <c r="I4" s="19" t="s">
        <v>29</v>
      </c>
      <c r="J4" s="19">
        <v>1</v>
      </c>
      <c r="K4" s="20" t="s">
        <v>21</v>
      </c>
      <c r="L4" s="21" t="s">
        <v>30</v>
      </c>
      <c r="M4" s="21" t="s">
        <v>30</v>
      </c>
      <c r="N4" s="16">
        <v>80</v>
      </c>
      <c r="O4" s="26" t="s">
        <v>31</v>
      </c>
      <c r="P4" s="23"/>
    </row>
    <row r="5" spans="1:16" ht="78" x14ac:dyDescent="0.3">
      <c r="A5" s="13" t="str">
        <f t="shared" si="1"/>
        <v>12.07.2025UB/EXP/20250007, DT.11.07.2025CSLU 236184-9UBIAMP 290525_081-160</v>
      </c>
      <c r="B5" s="13" t="str">
        <f t="shared" si="0"/>
        <v>UBIAMP 290525_081-160</v>
      </c>
      <c r="C5" s="14" t="s">
        <v>32</v>
      </c>
      <c r="D5" s="15" t="s">
        <v>16</v>
      </c>
      <c r="E5" s="16" t="s">
        <v>17</v>
      </c>
      <c r="F5" s="24">
        <v>2025</v>
      </c>
      <c r="G5" s="18" t="s">
        <v>28</v>
      </c>
      <c r="H5" s="27" t="s">
        <v>19</v>
      </c>
      <c r="I5" s="28" t="s">
        <v>33</v>
      </c>
      <c r="J5" s="19">
        <v>1</v>
      </c>
      <c r="K5" s="20" t="s">
        <v>21</v>
      </c>
      <c r="L5" s="21" t="s">
        <v>30</v>
      </c>
      <c r="M5" s="21" t="s">
        <v>30</v>
      </c>
      <c r="N5" s="16">
        <v>80</v>
      </c>
      <c r="O5" s="22" t="s">
        <v>34</v>
      </c>
      <c r="P5" s="23"/>
    </row>
    <row r="6" spans="1:16" ht="78" x14ac:dyDescent="0.3">
      <c r="A6" s="13" t="str">
        <f t="shared" si="1"/>
        <v>25.07.2025UB/EXP/20250010, DT.25.07.2025SEGU 386685-2UBIAMP 200525_00-080</v>
      </c>
      <c r="B6" s="13" t="str">
        <f t="shared" si="0"/>
        <v>UBIAMP 200525_00-080</v>
      </c>
      <c r="C6" s="14" t="s">
        <v>35</v>
      </c>
      <c r="D6" s="15" t="s">
        <v>16</v>
      </c>
      <c r="E6" s="16" t="s">
        <v>36</v>
      </c>
      <c r="F6" s="24">
        <v>2025</v>
      </c>
      <c r="G6" s="18" t="s">
        <v>37</v>
      </c>
      <c r="H6" s="29" t="s">
        <v>38</v>
      </c>
      <c r="I6" s="30" t="s">
        <v>39</v>
      </c>
      <c r="J6" s="19">
        <v>1</v>
      </c>
      <c r="K6" s="20" t="s">
        <v>21</v>
      </c>
      <c r="L6" s="16" t="s">
        <v>40</v>
      </c>
      <c r="M6" s="16" t="s">
        <v>40</v>
      </c>
      <c r="N6" s="16">
        <v>80</v>
      </c>
      <c r="O6" s="22" t="s">
        <v>41</v>
      </c>
      <c r="P6" s="23"/>
    </row>
    <row r="7" spans="1:16" ht="78" x14ac:dyDescent="0.3">
      <c r="A7" s="13" t="str">
        <f t="shared" si="1"/>
        <v>25.07.2025UB/EXP/20250010, DT.25.07.2025CAAU 256360-9UBIAMP 200525_081-160</v>
      </c>
      <c r="B7" s="13" t="str">
        <f t="shared" si="0"/>
        <v>UBIAMP 200525_081-160</v>
      </c>
      <c r="C7" s="14" t="s">
        <v>35</v>
      </c>
      <c r="D7" s="15" t="s">
        <v>16</v>
      </c>
      <c r="E7" s="16" t="s">
        <v>36</v>
      </c>
      <c r="F7" s="24">
        <v>2025</v>
      </c>
      <c r="G7" s="18" t="s">
        <v>37</v>
      </c>
      <c r="H7" s="29" t="s">
        <v>38</v>
      </c>
      <c r="I7" s="30" t="s">
        <v>42</v>
      </c>
      <c r="J7" s="31">
        <v>1</v>
      </c>
      <c r="K7" s="32" t="s">
        <v>43</v>
      </c>
      <c r="L7" s="16" t="s">
        <v>40</v>
      </c>
      <c r="M7" s="16" t="s">
        <v>40</v>
      </c>
      <c r="N7" s="16">
        <v>80</v>
      </c>
      <c r="O7" s="22" t="s">
        <v>34</v>
      </c>
      <c r="P7" s="23"/>
    </row>
    <row r="8" spans="1:16" ht="78" x14ac:dyDescent="0.3">
      <c r="A8" s="13" t="str">
        <f t="shared" si="1"/>
        <v>05.08.2025UB/EXP/20250012, DT.05.08.2025MSMU 497366-2UBIAMP 080625_001-112</v>
      </c>
      <c r="B8" s="13" t="str">
        <f t="shared" si="0"/>
        <v>UBIAMP 080625_001-112</v>
      </c>
      <c r="C8" s="14" t="s">
        <v>44</v>
      </c>
      <c r="D8" s="15" t="s">
        <v>16</v>
      </c>
      <c r="E8" s="16" t="s">
        <v>45</v>
      </c>
      <c r="F8" s="24">
        <v>2025</v>
      </c>
      <c r="G8" s="18" t="s">
        <v>46</v>
      </c>
      <c r="H8" s="16">
        <v>76</v>
      </c>
      <c r="I8" s="30" t="s">
        <v>47</v>
      </c>
      <c r="J8" s="31">
        <v>1.4</v>
      </c>
      <c r="K8" s="32" t="s">
        <v>43</v>
      </c>
      <c r="L8" s="16" t="s">
        <v>48</v>
      </c>
      <c r="M8" s="16" t="s">
        <v>48</v>
      </c>
      <c r="N8" s="16">
        <v>112</v>
      </c>
      <c r="O8" s="22" t="s">
        <v>49</v>
      </c>
      <c r="P8" s="23"/>
    </row>
    <row r="9" spans="1:16" ht="78" x14ac:dyDescent="0.3">
      <c r="A9" s="13" t="str">
        <f t="shared" si="1"/>
        <v>05.08.2025UB/EXP/20250013, DT.05.08.2025MSMU 620569-0UBIAMP 080625_113-224</v>
      </c>
      <c r="B9" s="13" t="str">
        <f t="shared" si="0"/>
        <v>UBIAMP 080625_113-224</v>
      </c>
      <c r="C9" s="14" t="s">
        <v>44</v>
      </c>
      <c r="D9" s="15" t="s">
        <v>16</v>
      </c>
      <c r="E9" s="16" t="s">
        <v>45</v>
      </c>
      <c r="F9" s="24">
        <v>2025</v>
      </c>
      <c r="G9" s="18" t="s">
        <v>50</v>
      </c>
      <c r="H9" s="16">
        <v>76</v>
      </c>
      <c r="I9" s="30" t="s">
        <v>51</v>
      </c>
      <c r="J9" s="31">
        <v>1.4</v>
      </c>
      <c r="K9" s="32" t="s">
        <v>43</v>
      </c>
      <c r="L9" s="16" t="s">
        <v>48</v>
      </c>
      <c r="M9" s="16" t="s">
        <v>48</v>
      </c>
      <c r="N9" s="16">
        <v>112</v>
      </c>
      <c r="O9" s="22" t="s">
        <v>52</v>
      </c>
      <c r="P9" s="23"/>
    </row>
    <row r="10" spans="1:16" ht="78" x14ac:dyDescent="0.3">
      <c r="A10" s="13" t="str">
        <f t="shared" si="1"/>
        <v>06.08.2025UB/EXP/20250014, DT.06.08.2025FFAU 374231-0UBIAMP 080625_225-336</v>
      </c>
      <c r="B10" s="13" t="str">
        <f t="shared" si="0"/>
        <v>UBIAMP 080625_225-336</v>
      </c>
      <c r="C10" s="14" t="s">
        <v>53</v>
      </c>
      <c r="D10" s="15" t="s">
        <v>16</v>
      </c>
      <c r="E10" s="16" t="s">
        <v>45</v>
      </c>
      <c r="F10" s="24">
        <v>2025</v>
      </c>
      <c r="G10" s="18" t="s">
        <v>54</v>
      </c>
      <c r="H10" s="33">
        <v>77</v>
      </c>
      <c r="I10" s="34" t="s">
        <v>55</v>
      </c>
      <c r="J10" s="35">
        <v>1.4</v>
      </c>
      <c r="K10" s="35" t="s">
        <v>43</v>
      </c>
      <c r="L10" s="16" t="s">
        <v>48</v>
      </c>
      <c r="M10" s="16" t="s">
        <v>48</v>
      </c>
      <c r="N10" s="16">
        <v>112</v>
      </c>
      <c r="O10" s="22" t="s">
        <v>56</v>
      </c>
      <c r="P10" s="23"/>
    </row>
    <row r="11" spans="1:16" ht="78" x14ac:dyDescent="0.3">
      <c r="A11" s="13" t="str">
        <f t="shared" si="1"/>
        <v>06.08.2025UB/EXP/20250015, DT.06.08.2025MSMU 713878-6UBIAMP 080625_337-448</v>
      </c>
      <c r="B11" s="13" t="str">
        <f t="shared" si="0"/>
        <v>UBIAMP 080625_337-448</v>
      </c>
      <c r="C11" s="14" t="s">
        <v>53</v>
      </c>
      <c r="D11" s="15" t="s">
        <v>16</v>
      </c>
      <c r="E11" s="16" t="s">
        <v>45</v>
      </c>
      <c r="F11" s="24">
        <v>2025</v>
      </c>
      <c r="G11" s="18" t="s">
        <v>57</v>
      </c>
      <c r="H11" s="33">
        <v>77</v>
      </c>
      <c r="I11" s="34" t="s">
        <v>58</v>
      </c>
      <c r="J11" s="35">
        <v>1.4</v>
      </c>
      <c r="K11" s="35" t="s">
        <v>43</v>
      </c>
      <c r="L11" s="16" t="s">
        <v>48</v>
      </c>
      <c r="M11" s="16" t="s">
        <v>48</v>
      </c>
      <c r="N11" s="16">
        <v>112</v>
      </c>
      <c r="O11" s="22" t="s">
        <v>59</v>
      </c>
      <c r="P11" s="23"/>
    </row>
    <row r="12" spans="1:16" ht="78" x14ac:dyDescent="0.3">
      <c r="A12" s="13" t="str">
        <f t="shared" si="1"/>
        <v>13.08.2025UB/EXP/20250017, DT.13.08.2025TRHU 188718-7UBITMP 100725_001-080</v>
      </c>
      <c r="B12" s="13" t="str">
        <f t="shared" si="0"/>
        <v>UBITMP 100725_001-080</v>
      </c>
      <c r="C12" s="14" t="s">
        <v>60</v>
      </c>
      <c r="D12" s="36" t="s">
        <v>61</v>
      </c>
      <c r="E12" s="16" t="s">
        <v>36</v>
      </c>
      <c r="F12" s="24">
        <v>2025</v>
      </c>
      <c r="G12" s="18" t="s">
        <v>62</v>
      </c>
      <c r="H12" s="25">
        <v>91</v>
      </c>
      <c r="I12" s="30" t="s">
        <v>63</v>
      </c>
      <c r="J12" s="31">
        <v>1</v>
      </c>
      <c r="K12" s="35" t="s">
        <v>64</v>
      </c>
      <c r="L12" s="21" t="s">
        <v>65</v>
      </c>
      <c r="M12" s="21" t="s">
        <v>65</v>
      </c>
      <c r="N12" s="16">
        <v>80</v>
      </c>
      <c r="O12" s="22" t="s">
        <v>66</v>
      </c>
      <c r="P12" s="23"/>
    </row>
    <row r="13" spans="1:16" ht="78" x14ac:dyDescent="0.3">
      <c r="A13" s="13" t="str">
        <f t="shared" si="1"/>
        <v>17.08.2025UB/EXP/20250018, DT.17.08.2025MSBU 660650-7UBIAMP 250625_001-112</v>
      </c>
      <c r="B13" s="13" t="str">
        <f t="shared" si="0"/>
        <v>UBIAMP 250625_001-112</v>
      </c>
      <c r="C13" s="14" t="s">
        <v>67</v>
      </c>
      <c r="D13" s="36" t="s">
        <v>61</v>
      </c>
      <c r="E13" s="16" t="s">
        <v>68</v>
      </c>
      <c r="F13" s="24">
        <v>2025</v>
      </c>
      <c r="G13" s="18" t="s">
        <v>69</v>
      </c>
      <c r="H13" s="16">
        <v>95</v>
      </c>
      <c r="I13" s="30" t="s">
        <v>70</v>
      </c>
      <c r="J13" s="31">
        <v>1.4</v>
      </c>
      <c r="K13" s="32" t="s">
        <v>43</v>
      </c>
      <c r="L13" s="16" t="s">
        <v>71</v>
      </c>
      <c r="M13" s="16" t="s">
        <v>71</v>
      </c>
      <c r="N13" s="16">
        <v>112</v>
      </c>
      <c r="O13" s="22" t="s">
        <v>49</v>
      </c>
      <c r="P13" s="23"/>
    </row>
    <row r="14" spans="1:16" ht="78" x14ac:dyDescent="0.3">
      <c r="A14" s="13" t="str">
        <f t="shared" si="1"/>
        <v>18.08.2025UB/EXP/20250019, DT.18.08.2025MSMU 774863-9UBINMP 180725_01-112</v>
      </c>
      <c r="B14" s="13" t="str">
        <f t="shared" si="0"/>
        <v>UBINMP 180725_01-112</v>
      </c>
      <c r="C14" s="37" t="s">
        <v>72</v>
      </c>
      <c r="D14" s="36" t="s">
        <v>73</v>
      </c>
      <c r="E14" s="16" t="s">
        <v>45</v>
      </c>
      <c r="F14" s="24">
        <v>2025</v>
      </c>
      <c r="G14" s="18" t="s">
        <v>74</v>
      </c>
      <c r="H14" s="16">
        <v>96</v>
      </c>
      <c r="I14" s="28" t="s">
        <v>75</v>
      </c>
      <c r="J14" s="38">
        <v>1.4</v>
      </c>
      <c r="K14" s="32" t="s">
        <v>76</v>
      </c>
      <c r="L14" s="16" t="s">
        <v>77</v>
      </c>
      <c r="M14" s="16" t="s">
        <v>77</v>
      </c>
      <c r="N14" s="16">
        <v>112</v>
      </c>
      <c r="O14" s="22" t="s">
        <v>78</v>
      </c>
      <c r="P14" s="23"/>
    </row>
    <row r="15" spans="1:16" ht="78" x14ac:dyDescent="0.3">
      <c r="A15" s="13" t="str">
        <f t="shared" si="1"/>
        <v>18.08.2025UB/EXP/20250019, DT.18.08.2025BEAU 566734-9UBINMP 180725_113-224</v>
      </c>
      <c r="B15" s="13" t="str">
        <f t="shared" si="0"/>
        <v>UBINMP 180725_113-224</v>
      </c>
      <c r="C15" s="37" t="s">
        <v>72</v>
      </c>
      <c r="D15" s="36" t="s">
        <v>73</v>
      </c>
      <c r="E15" s="16" t="s">
        <v>45</v>
      </c>
      <c r="F15" s="24">
        <v>2025</v>
      </c>
      <c r="G15" s="18" t="s">
        <v>74</v>
      </c>
      <c r="H15" s="16">
        <v>96</v>
      </c>
      <c r="I15" s="30" t="s">
        <v>79</v>
      </c>
      <c r="J15" s="31">
        <v>1.4</v>
      </c>
      <c r="K15" s="32" t="s">
        <v>76</v>
      </c>
      <c r="L15" s="16" t="s">
        <v>77</v>
      </c>
      <c r="M15" s="16" t="s">
        <v>77</v>
      </c>
      <c r="N15" s="16">
        <v>112</v>
      </c>
      <c r="O15" s="22" t="s">
        <v>52</v>
      </c>
      <c r="P15" s="39"/>
    </row>
    <row r="16" spans="1:16" ht="78" x14ac:dyDescent="0.3">
      <c r="A16" s="13" t="str">
        <f t="shared" si="1"/>
        <v>19.08.2025UB/EXP/20250020, DT.19.08.2025MSNU 793979-4UBINMP 180725_225-336</v>
      </c>
      <c r="B16" s="13" t="str">
        <f t="shared" si="0"/>
        <v>UBINMP 180725_225-336</v>
      </c>
      <c r="C16" s="40" t="s">
        <v>80</v>
      </c>
      <c r="D16" s="36" t="s">
        <v>73</v>
      </c>
      <c r="E16" s="16" t="s">
        <v>45</v>
      </c>
      <c r="F16" s="24">
        <v>2025</v>
      </c>
      <c r="G16" s="18" t="s">
        <v>81</v>
      </c>
      <c r="H16" s="16">
        <v>101</v>
      </c>
      <c r="I16" s="30" t="s">
        <v>82</v>
      </c>
      <c r="J16" s="31">
        <v>1.4</v>
      </c>
      <c r="K16" s="32" t="s">
        <v>76</v>
      </c>
      <c r="L16" s="16" t="s">
        <v>77</v>
      </c>
      <c r="M16" s="16" t="s">
        <v>77</v>
      </c>
      <c r="N16" s="16">
        <v>112</v>
      </c>
      <c r="O16" s="22" t="s">
        <v>56</v>
      </c>
      <c r="P16" s="41"/>
    </row>
    <row r="17" spans="1:16" ht="78" x14ac:dyDescent="0.3">
      <c r="A17" s="13" t="str">
        <f t="shared" si="1"/>
        <v>19.08.2025UB/EXP/20250020, DT.19.08.2025MSMU 680479-0UBINMP 180725_337-448</v>
      </c>
      <c r="B17" s="13" t="str">
        <f t="shared" si="0"/>
        <v>UBINMP 180725_337-448</v>
      </c>
      <c r="C17" s="40" t="s">
        <v>80</v>
      </c>
      <c r="D17" s="36" t="s">
        <v>73</v>
      </c>
      <c r="E17" s="16" t="s">
        <v>45</v>
      </c>
      <c r="F17" s="24">
        <v>2025</v>
      </c>
      <c r="G17" s="18" t="s">
        <v>81</v>
      </c>
      <c r="H17" s="16">
        <v>101</v>
      </c>
      <c r="I17" s="30" t="s">
        <v>83</v>
      </c>
      <c r="J17" s="31">
        <v>1.4</v>
      </c>
      <c r="K17" s="32" t="s">
        <v>76</v>
      </c>
      <c r="L17" s="16" t="s">
        <v>77</v>
      </c>
      <c r="M17" s="16" t="s">
        <v>77</v>
      </c>
      <c r="N17" s="16">
        <v>112</v>
      </c>
      <c r="O17" s="22" t="s">
        <v>59</v>
      </c>
      <c r="P17" s="41"/>
    </row>
    <row r="18" spans="1:16" ht="78" x14ac:dyDescent="0.3">
      <c r="A18" s="13" t="str">
        <f t="shared" si="1"/>
        <v>20.08.2025UB/EXP/20250021, DT.20.08.2025SEGU 185754-8UBIAMP 200525_161-240</v>
      </c>
      <c r="B18" s="13" t="str">
        <f t="shared" si="0"/>
        <v>UBIAMP 200525_161-240</v>
      </c>
      <c r="C18" s="40" t="s">
        <v>84</v>
      </c>
      <c r="D18" s="15" t="s">
        <v>16</v>
      </c>
      <c r="E18" s="25" t="s">
        <v>36</v>
      </c>
      <c r="F18" s="42">
        <v>2025</v>
      </c>
      <c r="G18" s="18" t="s">
        <v>85</v>
      </c>
      <c r="H18" s="16">
        <v>102</v>
      </c>
      <c r="I18" s="30" t="s">
        <v>86</v>
      </c>
      <c r="J18" s="31">
        <v>1</v>
      </c>
      <c r="K18" s="32" t="s">
        <v>21</v>
      </c>
      <c r="L18" s="16" t="s">
        <v>40</v>
      </c>
      <c r="M18" s="16" t="s">
        <v>40</v>
      </c>
      <c r="N18" s="16">
        <v>80</v>
      </c>
      <c r="O18" s="22" t="s">
        <v>87</v>
      </c>
      <c r="P18" s="41"/>
    </row>
    <row r="19" spans="1:16" ht="78" x14ac:dyDescent="0.3">
      <c r="A19" s="13" t="str">
        <f t="shared" si="1"/>
        <v>24.08.2025UB/EXP/20250022, DT.24.08.2025CMAU 689874-0UBIAMP 170525_225-336</v>
      </c>
      <c r="B19" s="13" t="str">
        <f t="shared" si="0"/>
        <v>UBIAMP 170525_225-336</v>
      </c>
      <c r="C19" s="40" t="s">
        <v>88</v>
      </c>
      <c r="D19" s="15" t="s">
        <v>16</v>
      </c>
      <c r="E19" s="25" t="s">
        <v>89</v>
      </c>
      <c r="F19" s="42">
        <v>2025</v>
      </c>
      <c r="G19" s="18" t="s">
        <v>90</v>
      </c>
      <c r="H19" s="16">
        <v>108</v>
      </c>
      <c r="I19" s="30" t="s">
        <v>91</v>
      </c>
      <c r="J19" s="31">
        <v>1.4</v>
      </c>
      <c r="K19" s="32" t="s">
        <v>43</v>
      </c>
      <c r="L19" s="16" t="s">
        <v>92</v>
      </c>
      <c r="M19" s="16" t="s">
        <v>92</v>
      </c>
      <c r="N19" s="16">
        <v>112</v>
      </c>
      <c r="O19" s="22" t="s">
        <v>56</v>
      </c>
      <c r="P19" s="41"/>
    </row>
    <row r="20" spans="1:16" ht="78" x14ac:dyDescent="0.3">
      <c r="A20" s="13" t="str">
        <f t="shared" si="1"/>
        <v>24.08.2025UB/EXP/20250022, DT.24.08.2025TCNU 297085-3UBIAMP 170525_337-448</v>
      </c>
      <c r="B20" s="13" t="str">
        <f t="shared" si="0"/>
        <v>UBIAMP 170525_337-448</v>
      </c>
      <c r="C20" s="40" t="s">
        <v>88</v>
      </c>
      <c r="D20" s="15" t="s">
        <v>16</v>
      </c>
      <c r="E20" s="25" t="s">
        <v>89</v>
      </c>
      <c r="F20" s="42">
        <v>2025</v>
      </c>
      <c r="G20" s="18" t="s">
        <v>90</v>
      </c>
      <c r="H20" s="16">
        <v>108</v>
      </c>
      <c r="I20" s="30" t="s">
        <v>93</v>
      </c>
      <c r="J20" s="31">
        <v>1.4</v>
      </c>
      <c r="K20" s="32" t="s">
        <v>43</v>
      </c>
      <c r="L20" s="16" t="s">
        <v>92</v>
      </c>
      <c r="M20" s="16" t="s">
        <v>92</v>
      </c>
      <c r="N20" s="16">
        <v>112</v>
      </c>
      <c r="O20" s="22" t="s">
        <v>59</v>
      </c>
      <c r="P20" s="41"/>
    </row>
    <row r="21" spans="1:16" ht="78" x14ac:dyDescent="0.3">
      <c r="A21" s="13" t="str">
        <f t="shared" si="1"/>
        <v>25.08.2025UB/EXP/20250023, DT.25.08.2025ECMU 720582-2UBIAMP 170525_001-112</v>
      </c>
      <c r="B21" s="13" t="str">
        <f t="shared" si="0"/>
        <v>UBIAMP 170525_001-112</v>
      </c>
      <c r="C21" s="40" t="s">
        <v>94</v>
      </c>
      <c r="D21" s="15" t="s">
        <v>16</v>
      </c>
      <c r="E21" s="25" t="s">
        <v>89</v>
      </c>
      <c r="F21" s="42">
        <v>2025</v>
      </c>
      <c r="G21" s="18" t="s">
        <v>95</v>
      </c>
      <c r="H21" s="16">
        <v>111</v>
      </c>
      <c r="I21" s="30" t="s">
        <v>96</v>
      </c>
      <c r="J21" s="31">
        <v>1.4</v>
      </c>
      <c r="K21" s="32" t="s">
        <v>43</v>
      </c>
      <c r="L21" s="16" t="s">
        <v>92</v>
      </c>
      <c r="M21" s="16" t="s">
        <v>92</v>
      </c>
      <c r="N21" s="16">
        <v>112</v>
      </c>
      <c r="O21" s="22" t="s">
        <v>49</v>
      </c>
      <c r="P21" s="41"/>
    </row>
    <row r="22" spans="1:16" ht="78" x14ac:dyDescent="0.3">
      <c r="A22" s="13" t="str">
        <f t="shared" si="1"/>
        <v>25.08.2025UB/EXP/20250023, DT.25.08.2025UETU 711564-1UBIAMP 170525_113-224</v>
      </c>
      <c r="B22" s="13" t="str">
        <f t="shared" si="0"/>
        <v>UBIAMP 170525_113-224</v>
      </c>
      <c r="C22" s="40" t="s">
        <v>94</v>
      </c>
      <c r="D22" s="15" t="s">
        <v>16</v>
      </c>
      <c r="E22" s="25" t="s">
        <v>89</v>
      </c>
      <c r="F22" s="42">
        <v>2025</v>
      </c>
      <c r="G22" s="18" t="s">
        <v>95</v>
      </c>
      <c r="H22" s="16">
        <v>111</v>
      </c>
      <c r="I22" s="30" t="s">
        <v>97</v>
      </c>
      <c r="J22" s="31">
        <v>1.4</v>
      </c>
      <c r="K22" s="32" t="s">
        <v>43</v>
      </c>
      <c r="L22" s="16" t="s">
        <v>92</v>
      </c>
      <c r="M22" s="16" t="s">
        <v>92</v>
      </c>
      <c r="N22" s="16">
        <v>112</v>
      </c>
      <c r="O22" s="22" t="s">
        <v>52</v>
      </c>
      <c r="P22" s="41"/>
    </row>
    <row r="23" spans="1:16" ht="78" x14ac:dyDescent="0.3">
      <c r="A23" s="13" t="str">
        <f t="shared" si="1"/>
        <v>04.09.2025UB/EXP/20250024, DT.04.09.2025CAAU 881098-5UBIAMP 170525_449-560</v>
      </c>
      <c r="B23" s="13" t="str">
        <f t="shared" si="0"/>
        <v>UBIAMP 170525_449-560</v>
      </c>
      <c r="C23" s="40" t="s">
        <v>98</v>
      </c>
      <c r="D23" s="15" t="s">
        <v>16</v>
      </c>
      <c r="E23" s="25" t="s">
        <v>89</v>
      </c>
      <c r="F23" s="42">
        <v>2025</v>
      </c>
      <c r="G23" s="18" t="s">
        <v>99</v>
      </c>
      <c r="H23" s="16">
        <v>116</v>
      </c>
      <c r="I23" s="30" t="s">
        <v>100</v>
      </c>
      <c r="J23" s="31">
        <v>1.4</v>
      </c>
      <c r="K23" s="32" t="s">
        <v>43</v>
      </c>
      <c r="L23" s="21" t="s">
        <v>92</v>
      </c>
      <c r="M23" s="16" t="s">
        <v>92</v>
      </c>
      <c r="N23" s="16">
        <v>80</v>
      </c>
      <c r="O23" s="22" t="s">
        <v>101</v>
      </c>
      <c r="P23" s="41"/>
    </row>
    <row r="24" spans="1:16" ht="78" x14ac:dyDescent="0.3">
      <c r="A24" s="13" t="str">
        <f t="shared" si="1"/>
        <v>04.09.2025UB/EXP/20250024, DT.04.09.2025CAAU 881098-5UBIAMP 170525_113-145</v>
      </c>
      <c r="B24" s="13" t="str">
        <f t="shared" si="0"/>
        <v>UBIAMP 170525_113-145</v>
      </c>
      <c r="C24" s="40" t="s">
        <v>98</v>
      </c>
      <c r="D24" s="15" t="s">
        <v>16</v>
      </c>
      <c r="E24" s="25" t="s">
        <v>89</v>
      </c>
      <c r="F24" s="42">
        <v>2025</v>
      </c>
      <c r="G24" s="18" t="s">
        <v>99</v>
      </c>
      <c r="H24" s="16">
        <v>116</v>
      </c>
      <c r="I24" s="30" t="s">
        <v>100</v>
      </c>
      <c r="J24" s="31">
        <v>1.4</v>
      </c>
      <c r="K24" s="32" t="s">
        <v>43</v>
      </c>
      <c r="L24" s="21" t="s">
        <v>102</v>
      </c>
      <c r="M24" s="16" t="s">
        <v>92</v>
      </c>
      <c r="N24" s="16">
        <v>32</v>
      </c>
      <c r="O24" s="22" t="s">
        <v>103</v>
      </c>
      <c r="P24" s="41"/>
    </row>
    <row r="25" spans="1:16" ht="78" x14ac:dyDescent="0.3">
      <c r="A25" s="13" t="str">
        <f t="shared" si="1"/>
        <v>04.09.2025UB/EXP/20250024, DT.04.09.2025ONEU 566071-8UBIAMP 230525_001-112</v>
      </c>
      <c r="B25" s="13" t="str">
        <f t="shared" si="0"/>
        <v>UBIAMP 230525_001-112</v>
      </c>
      <c r="C25" s="40" t="s">
        <v>98</v>
      </c>
      <c r="D25" s="15" t="s">
        <v>16</v>
      </c>
      <c r="E25" s="25" t="s">
        <v>89</v>
      </c>
      <c r="F25" s="42">
        <v>2025</v>
      </c>
      <c r="G25" s="18" t="s">
        <v>99</v>
      </c>
      <c r="H25" s="16">
        <v>116</v>
      </c>
      <c r="I25" s="30" t="s">
        <v>104</v>
      </c>
      <c r="J25" s="31">
        <v>1.4</v>
      </c>
      <c r="K25" s="32" t="s">
        <v>43</v>
      </c>
      <c r="L25" s="16" t="s">
        <v>102</v>
      </c>
      <c r="M25" s="16" t="s">
        <v>102</v>
      </c>
      <c r="N25" s="16">
        <v>112</v>
      </c>
      <c r="O25" s="22" t="s">
        <v>49</v>
      </c>
      <c r="P25" s="41"/>
    </row>
    <row r="26" spans="1:16" ht="78" x14ac:dyDescent="0.3">
      <c r="A26" s="13" t="str">
        <f t="shared" si="1"/>
        <v>05.09.2025UB/EXP/20250025, DT.05.09.2025TEMU 874267-6UBIAMP 080625_449-560</v>
      </c>
      <c r="B26" s="13" t="str">
        <f t="shared" si="0"/>
        <v>UBIAMP 080625_449-560</v>
      </c>
      <c r="C26" s="40" t="s">
        <v>105</v>
      </c>
      <c r="D26" s="15" t="s">
        <v>16</v>
      </c>
      <c r="E26" s="25" t="s">
        <v>45</v>
      </c>
      <c r="F26" s="42">
        <v>2025</v>
      </c>
      <c r="G26" s="18" t="s">
        <v>106</v>
      </c>
      <c r="H26" s="16">
        <v>121</v>
      </c>
      <c r="I26" s="30" t="s">
        <v>107</v>
      </c>
      <c r="J26" s="31">
        <v>1.4</v>
      </c>
      <c r="K26" s="32" t="s">
        <v>43</v>
      </c>
      <c r="L26" s="16" t="s">
        <v>48</v>
      </c>
      <c r="M26" s="16" t="s">
        <v>48</v>
      </c>
      <c r="N26" s="16">
        <v>112</v>
      </c>
      <c r="O26" s="22" t="s">
        <v>101</v>
      </c>
      <c r="P26" s="41"/>
    </row>
    <row r="27" spans="1:16" ht="78" x14ac:dyDescent="0.3">
      <c r="A27" s="13" t="str">
        <f t="shared" si="1"/>
        <v>05.09.2025UB/EXP/20250025, DT.05.09.2025TCLU 969342-9UBIAMP 080625_561-672</v>
      </c>
      <c r="B27" s="13" t="str">
        <f t="shared" si="0"/>
        <v>UBIAMP 080625_561-672</v>
      </c>
      <c r="C27" s="40" t="s">
        <v>105</v>
      </c>
      <c r="D27" s="15" t="s">
        <v>16</v>
      </c>
      <c r="E27" s="25" t="s">
        <v>45</v>
      </c>
      <c r="F27" s="42">
        <v>2025</v>
      </c>
      <c r="G27" s="18" t="s">
        <v>106</v>
      </c>
      <c r="H27" s="16">
        <v>121</v>
      </c>
      <c r="I27" s="30" t="s">
        <v>108</v>
      </c>
      <c r="J27" s="31">
        <v>1.4</v>
      </c>
      <c r="K27" s="32" t="s">
        <v>43</v>
      </c>
      <c r="L27" s="16" t="s">
        <v>48</v>
      </c>
      <c r="M27" s="16" t="s">
        <v>48</v>
      </c>
      <c r="N27" s="16">
        <v>112</v>
      </c>
      <c r="O27" s="22" t="s">
        <v>109</v>
      </c>
      <c r="P27" s="41"/>
    </row>
    <row r="28" spans="1:16" ht="78" x14ac:dyDescent="0.3">
      <c r="A28" s="13" t="str">
        <f t="shared" si="1"/>
        <v>09.09.2025UB/EXP/20250026, DT.09.09.2025ONEU 597877-7UBINMP 270725_001-112</v>
      </c>
      <c r="B28" s="13" t="str">
        <f t="shared" si="0"/>
        <v>UBINMP 270725_001-112</v>
      </c>
      <c r="C28" s="14" t="s">
        <v>110</v>
      </c>
      <c r="D28" s="36" t="s">
        <v>73</v>
      </c>
      <c r="E28" s="25" t="s">
        <v>45</v>
      </c>
      <c r="F28" s="24">
        <v>2025</v>
      </c>
      <c r="G28" s="18" t="s">
        <v>111</v>
      </c>
      <c r="H28" s="25">
        <v>123</v>
      </c>
      <c r="I28" s="30" t="s">
        <v>112</v>
      </c>
      <c r="J28" s="31">
        <v>1.4</v>
      </c>
      <c r="K28" s="31" t="s">
        <v>76</v>
      </c>
      <c r="L28" s="21" t="s">
        <v>113</v>
      </c>
      <c r="M28" s="21" t="s">
        <v>113</v>
      </c>
      <c r="N28" s="16">
        <v>108</v>
      </c>
      <c r="O28" s="16" t="s">
        <v>49</v>
      </c>
      <c r="P28" s="23"/>
    </row>
    <row r="29" spans="1:16" ht="78" x14ac:dyDescent="0.3">
      <c r="A29" s="13" t="str">
        <f t="shared" si="1"/>
        <v>09.09.2025UB/EXP/20250026, DT.09.09.2025ONEU 597877-7UBINMP 270725_001-112</v>
      </c>
      <c r="B29" s="13" t="str">
        <f t="shared" si="0"/>
        <v>UBINMP 270725_001-112</v>
      </c>
      <c r="C29" s="14" t="s">
        <v>110</v>
      </c>
      <c r="D29" s="36" t="s">
        <v>73</v>
      </c>
      <c r="E29" s="25" t="s">
        <v>45</v>
      </c>
      <c r="F29" s="24">
        <v>2025</v>
      </c>
      <c r="G29" s="18" t="s">
        <v>111</v>
      </c>
      <c r="H29" s="25">
        <v>123</v>
      </c>
      <c r="I29" s="30" t="s">
        <v>112</v>
      </c>
      <c r="J29" s="31">
        <v>1.4</v>
      </c>
      <c r="K29" s="31" t="s">
        <v>76</v>
      </c>
      <c r="L29" s="21" t="s">
        <v>114</v>
      </c>
      <c r="M29" s="21" t="s">
        <v>113</v>
      </c>
      <c r="N29" s="16">
        <v>4</v>
      </c>
      <c r="O29" s="16" t="s">
        <v>49</v>
      </c>
      <c r="P29" s="23"/>
    </row>
    <row r="30" spans="1:16" ht="78" x14ac:dyDescent="0.3">
      <c r="A30" s="13" t="str">
        <f t="shared" si="1"/>
        <v>09.09.2025UB/EXP/20250026, DT.09.09.2025TCNU 443303-0UBINMP 270725_113-224</v>
      </c>
      <c r="B30" s="13" t="str">
        <f t="shared" si="0"/>
        <v>UBINMP 270725_113-224</v>
      </c>
      <c r="C30" s="14" t="s">
        <v>110</v>
      </c>
      <c r="D30" s="36" t="s">
        <v>73</v>
      </c>
      <c r="E30" s="25" t="s">
        <v>45</v>
      </c>
      <c r="F30" s="43">
        <v>2025</v>
      </c>
      <c r="G30" s="18" t="s">
        <v>111</v>
      </c>
      <c r="H30" s="44">
        <v>123</v>
      </c>
      <c r="I30" s="44" t="s">
        <v>115</v>
      </c>
      <c r="J30" s="44">
        <v>1.4</v>
      </c>
      <c r="K30" s="44" t="s">
        <v>76</v>
      </c>
      <c r="L30" s="21" t="s">
        <v>113</v>
      </c>
      <c r="M30" s="21" t="s">
        <v>113</v>
      </c>
      <c r="N30" s="44">
        <v>100</v>
      </c>
      <c r="O30" s="44" t="s">
        <v>52</v>
      </c>
      <c r="P30" s="45"/>
    </row>
    <row r="31" spans="1:16" ht="78" x14ac:dyDescent="0.3">
      <c r="A31" s="13" t="str">
        <f t="shared" si="1"/>
        <v>09.09.2025UB/EXP/20250026, DT.09.09.2025TCNU 443303-0UBINMP 270725_113-224</v>
      </c>
      <c r="B31" s="13" t="str">
        <f t="shared" si="0"/>
        <v>UBINMP 270725_113-224</v>
      </c>
      <c r="C31" s="14" t="s">
        <v>110</v>
      </c>
      <c r="D31" s="36" t="s">
        <v>73</v>
      </c>
      <c r="E31" s="25" t="s">
        <v>45</v>
      </c>
      <c r="F31" s="43">
        <v>2025</v>
      </c>
      <c r="G31" s="18" t="s">
        <v>111</v>
      </c>
      <c r="H31" s="44">
        <v>123</v>
      </c>
      <c r="I31" s="44" t="s">
        <v>115</v>
      </c>
      <c r="J31" s="44">
        <v>1.4</v>
      </c>
      <c r="K31" s="44" t="s">
        <v>76</v>
      </c>
      <c r="L31" s="21" t="s">
        <v>116</v>
      </c>
      <c r="M31" s="21" t="s">
        <v>113</v>
      </c>
      <c r="N31" s="44">
        <v>12</v>
      </c>
      <c r="O31" s="44" t="s">
        <v>52</v>
      </c>
      <c r="P31" s="45"/>
    </row>
    <row r="32" spans="1:16" ht="78" x14ac:dyDescent="0.3">
      <c r="A32" s="13" t="str">
        <f t="shared" si="1"/>
        <v>11.09.2025UB/EXP/20250027, DT.11.09.2025ONEU 223842-1UBIAMP 290525_161-240</v>
      </c>
      <c r="B32" s="13" t="str">
        <f t="shared" si="0"/>
        <v>UBIAMP 290525_161-240</v>
      </c>
      <c r="C32" s="44" t="s">
        <v>117</v>
      </c>
      <c r="D32" s="15" t="s">
        <v>16</v>
      </c>
      <c r="E32" s="44" t="s">
        <v>17</v>
      </c>
      <c r="F32" s="43">
        <v>2025</v>
      </c>
      <c r="G32" s="18" t="s">
        <v>118</v>
      </c>
      <c r="H32" s="44">
        <v>124</v>
      </c>
      <c r="I32" s="44" t="s">
        <v>119</v>
      </c>
      <c r="J32" s="44">
        <v>1</v>
      </c>
      <c r="K32" s="44" t="s">
        <v>43</v>
      </c>
      <c r="L32" s="44" t="s">
        <v>120</v>
      </c>
      <c r="M32" s="44" t="s">
        <v>30</v>
      </c>
      <c r="N32" s="44">
        <v>80</v>
      </c>
      <c r="O32" s="44" t="s">
        <v>87</v>
      </c>
      <c r="P32" s="45" t="s">
        <v>121</v>
      </c>
    </row>
    <row r="33" spans="1:16" ht="78" x14ac:dyDescent="0.3">
      <c r="A33" s="13" t="str">
        <f t="shared" si="1"/>
        <v>11.09.2025UB/EXP/20250027, DT.11.09.2025ONEU 215506-0UBIAMP 290525_241-320</v>
      </c>
      <c r="B33" s="13" t="str">
        <f t="shared" si="0"/>
        <v>UBIAMP 290525_241-320</v>
      </c>
      <c r="C33" s="44" t="s">
        <v>117</v>
      </c>
      <c r="D33" s="15" t="s">
        <v>16</v>
      </c>
      <c r="E33" s="44" t="s">
        <v>17</v>
      </c>
      <c r="F33" s="43">
        <v>2025</v>
      </c>
      <c r="G33" s="18" t="s">
        <v>118</v>
      </c>
      <c r="H33" s="44">
        <v>124</v>
      </c>
      <c r="I33" s="44" t="s">
        <v>122</v>
      </c>
      <c r="J33" s="44">
        <v>1</v>
      </c>
      <c r="K33" s="44" t="s">
        <v>43</v>
      </c>
      <c r="L33" s="44" t="s">
        <v>120</v>
      </c>
      <c r="M33" s="44" t="s">
        <v>30</v>
      </c>
      <c r="N33" s="44">
        <v>80</v>
      </c>
      <c r="O33" s="44" t="s">
        <v>23</v>
      </c>
      <c r="P33" s="45" t="s">
        <v>121</v>
      </c>
    </row>
    <row r="34" spans="1:16" ht="78" x14ac:dyDescent="0.3">
      <c r="A34" s="13" t="str">
        <f t="shared" si="1"/>
        <v>11.09.2025UB/EXP/20250028, DT.11.09.2025ONEU 108608-9UBITMP 060725_001-112</v>
      </c>
      <c r="B34" s="13" t="str">
        <f t="shared" si="0"/>
        <v>UBITMP 060725_001-112</v>
      </c>
      <c r="C34" s="44" t="s">
        <v>117</v>
      </c>
      <c r="D34" s="46" t="s">
        <v>61</v>
      </c>
      <c r="E34" s="44" t="s">
        <v>89</v>
      </c>
      <c r="F34" s="43">
        <v>2025</v>
      </c>
      <c r="G34" s="18" t="s">
        <v>123</v>
      </c>
      <c r="H34" s="44">
        <v>225</v>
      </c>
      <c r="I34" s="44" t="s">
        <v>124</v>
      </c>
      <c r="J34" s="44">
        <v>1.4</v>
      </c>
      <c r="K34" s="44" t="s">
        <v>64</v>
      </c>
      <c r="L34" s="44" t="s">
        <v>125</v>
      </c>
      <c r="M34" s="44" t="s">
        <v>125</v>
      </c>
      <c r="N34" s="44">
        <v>112</v>
      </c>
      <c r="O34" s="44" t="s">
        <v>49</v>
      </c>
      <c r="P34" s="45" t="s">
        <v>126</v>
      </c>
    </row>
    <row r="35" spans="1:16" ht="78" x14ac:dyDescent="0.3">
      <c r="A35" s="13" t="str">
        <f t="shared" si="1"/>
        <v>11.09.2025UB/EXP/20250028, DT.11.09.2025TXGU 406212-2UBITMP 060725_113-224</v>
      </c>
      <c r="B35" s="13" t="str">
        <f t="shared" si="0"/>
        <v>UBITMP 060725_113-224</v>
      </c>
      <c r="C35" s="44" t="s">
        <v>117</v>
      </c>
      <c r="D35" s="46" t="s">
        <v>61</v>
      </c>
      <c r="E35" s="44" t="s">
        <v>89</v>
      </c>
      <c r="F35" s="43">
        <v>2025</v>
      </c>
      <c r="G35" s="18" t="s">
        <v>123</v>
      </c>
      <c r="H35" s="44">
        <v>225</v>
      </c>
      <c r="I35" s="44" t="s">
        <v>127</v>
      </c>
      <c r="J35" s="44">
        <v>1.4</v>
      </c>
      <c r="K35" s="44" t="s">
        <v>64</v>
      </c>
      <c r="L35" s="44" t="s">
        <v>125</v>
      </c>
      <c r="M35" s="44" t="s">
        <v>125</v>
      </c>
      <c r="N35" s="44">
        <v>112</v>
      </c>
      <c r="O35" s="44" t="s">
        <v>52</v>
      </c>
      <c r="P35" s="45" t="s">
        <v>126</v>
      </c>
    </row>
    <row r="36" spans="1:16" ht="78" x14ac:dyDescent="0.3">
      <c r="A36" s="13" t="str">
        <f t="shared" si="1"/>
        <v>18.09.2025UB/EXP/20250030, DT.17.09.2025OOCU 037944-6UBITMP 100725_81-160</v>
      </c>
      <c r="B36" s="13" t="str">
        <f t="shared" si="0"/>
        <v>UBITMP 100725_81-160</v>
      </c>
      <c r="C36" s="44" t="s">
        <v>128</v>
      </c>
      <c r="D36" s="46" t="s">
        <v>61</v>
      </c>
      <c r="E36" s="44" t="s">
        <v>36</v>
      </c>
      <c r="F36" s="43">
        <v>2025</v>
      </c>
      <c r="G36" s="18" t="s">
        <v>129</v>
      </c>
      <c r="H36" s="44">
        <v>129</v>
      </c>
      <c r="I36" s="44" t="s">
        <v>130</v>
      </c>
      <c r="J36" s="44">
        <v>1</v>
      </c>
      <c r="K36" s="44" t="s">
        <v>64</v>
      </c>
      <c r="L36" s="44" t="s">
        <v>65</v>
      </c>
      <c r="M36" s="44" t="s">
        <v>65</v>
      </c>
      <c r="N36" s="44">
        <v>80</v>
      </c>
      <c r="O36" s="44" t="s">
        <v>131</v>
      </c>
      <c r="P36" s="45" t="s">
        <v>132</v>
      </c>
    </row>
    <row r="37" spans="1:16" ht="78" x14ac:dyDescent="0.3">
      <c r="A37" s="13" t="str">
        <f t="shared" si="1"/>
        <v>18.09.2025UB/EXP/20250031, DT.18.09.2025TIIU 212222-9UBITMP 060725_561-640</v>
      </c>
      <c r="B37" s="13" t="str">
        <f t="shared" si="0"/>
        <v>UBITMP 060725_561-640</v>
      </c>
      <c r="C37" s="44" t="s">
        <v>128</v>
      </c>
      <c r="D37" s="46" t="s">
        <v>61</v>
      </c>
      <c r="E37" s="44" t="s">
        <v>133</v>
      </c>
      <c r="F37" s="43">
        <v>2025</v>
      </c>
      <c r="G37" s="18" t="s">
        <v>134</v>
      </c>
      <c r="H37" s="44">
        <v>130</v>
      </c>
      <c r="I37" s="44" t="s">
        <v>135</v>
      </c>
      <c r="J37" s="44">
        <v>1</v>
      </c>
      <c r="K37" s="44" t="s">
        <v>64</v>
      </c>
      <c r="L37" s="47" t="s">
        <v>136</v>
      </c>
      <c r="M37" s="44" t="s">
        <v>125</v>
      </c>
      <c r="N37" s="44">
        <v>52</v>
      </c>
      <c r="O37" s="44" t="s">
        <v>137</v>
      </c>
      <c r="P37" s="45" t="s">
        <v>132</v>
      </c>
    </row>
    <row r="38" spans="1:16" ht="78" x14ac:dyDescent="0.3">
      <c r="A38" s="13" t="str">
        <f t="shared" si="1"/>
        <v>18.09.2025UB/EXP/20250031, DT.18.09.2025TIIU 212222-9UBITMP 060725_561-640</v>
      </c>
      <c r="B38" s="13" t="str">
        <f t="shared" si="0"/>
        <v>UBITMP 060725_561-640</v>
      </c>
      <c r="C38" s="44" t="s">
        <v>128</v>
      </c>
      <c r="D38" s="46" t="s">
        <v>61</v>
      </c>
      <c r="E38" s="44" t="s">
        <v>133</v>
      </c>
      <c r="F38" s="43">
        <v>2025</v>
      </c>
      <c r="G38" s="18" t="s">
        <v>134</v>
      </c>
      <c r="H38" s="44">
        <v>130</v>
      </c>
      <c r="I38" s="44" t="s">
        <v>135</v>
      </c>
      <c r="J38" s="44">
        <v>1</v>
      </c>
      <c r="K38" s="44" t="s">
        <v>64</v>
      </c>
      <c r="L38" s="47" t="s">
        <v>138</v>
      </c>
      <c r="M38" s="44" t="s">
        <v>125</v>
      </c>
      <c r="N38" s="44">
        <v>28</v>
      </c>
      <c r="O38" s="44" t="s">
        <v>137</v>
      </c>
      <c r="P38" s="45" t="s">
        <v>132</v>
      </c>
    </row>
    <row r="39" spans="1:16" ht="78" x14ac:dyDescent="0.3">
      <c r="A39" s="13" t="str">
        <f t="shared" si="1"/>
        <v>23.09.2025UB/EXP/20250033, DT.23.09.2025ONEU 506964-4UBINMP 270725_225-336</v>
      </c>
      <c r="B39" s="13" t="str">
        <f t="shared" si="0"/>
        <v>UBINMP 270725_225-336</v>
      </c>
      <c r="C39" s="44" t="s">
        <v>139</v>
      </c>
      <c r="D39" s="46" t="s">
        <v>73</v>
      </c>
      <c r="E39" s="44" t="s">
        <v>45</v>
      </c>
      <c r="F39" s="43">
        <v>2025</v>
      </c>
      <c r="G39" s="18" t="s">
        <v>140</v>
      </c>
      <c r="H39" s="44">
        <v>132</v>
      </c>
      <c r="I39" s="44" t="s">
        <v>141</v>
      </c>
      <c r="J39" s="44">
        <v>1.4</v>
      </c>
      <c r="K39" s="44" t="s">
        <v>76</v>
      </c>
      <c r="L39" s="44" t="s">
        <v>113</v>
      </c>
      <c r="M39" s="44" t="s">
        <v>113</v>
      </c>
      <c r="N39" s="44">
        <v>112</v>
      </c>
      <c r="O39" s="44" t="s">
        <v>56</v>
      </c>
      <c r="P39" s="45"/>
    </row>
    <row r="40" spans="1:16" ht="78" x14ac:dyDescent="0.3">
      <c r="A40" s="13" t="str">
        <f t="shared" si="1"/>
        <v>23.09.2025UB/EXP/20250032, DT.23.09.2025ONEU 047044-3UBIAMP 250625_113-224</v>
      </c>
      <c r="B40" s="13" t="str">
        <f t="shared" si="0"/>
        <v>UBIAMP 250625_113-224</v>
      </c>
      <c r="C40" s="44" t="s">
        <v>139</v>
      </c>
      <c r="D40" s="46" t="s">
        <v>61</v>
      </c>
      <c r="E40" s="44" t="s">
        <v>68</v>
      </c>
      <c r="F40" s="43">
        <v>2025</v>
      </c>
      <c r="G40" s="18" t="s">
        <v>142</v>
      </c>
      <c r="H40" s="44">
        <v>131</v>
      </c>
      <c r="I40" s="44" t="s">
        <v>143</v>
      </c>
      <c r="J40" s="44">
        <v>1.4</v>
      </c>
      <c r="K40" s="44" t="s">
        <v>43</v>
      </c>
      <c r="L40" s="44" t="s">
        <v>71</v>
      </c>
      <c r="M40" s="44" t="s">
        <v>71</v>
      </c>
      <c r="N40" s="44">
        <v>112</v>
      </c>
      <c r="O40" s="44" t="s">
        <v>52</v>
      </c>
      <c r="P40" s="45"/>
    </row>
    <row r="41" spans="1:16" ht="78" x14ac:dyDescent="0.3">
      <c r="A41" s="13" t="str">
        <f t="shared" si="1"/>
        <v>14.10.2025UB/EXP/20250036, DT.14.10.2025ONEU 135733-9UBIAMP 230525_113-224</v>
      </c>
      <c r="B41" s="13" t="str">
        <f t="shared" si="0"/>
        <v>UBIAMP 230525_113-224</v>
      </c>
      <c r="C41" s="44" t="s">
        <v>144</v>
      </c>
      <c r="D41" s="15" t="s">
        <v>16</v>
      </c>
      <c r="E41" s="44" t="s">
        <v>89</v>
      </c>
      <c r="F41" s="43">
        <v>2025</v>
      </c>
      <c r="G41" s="18" t="s">
        <v>145</v>
      </c>
      <c r="H41" s="44">
        <v>143</v>
      </c>
      <c r="I41" s="44" t="s">
        <v>146</v>
      </c>
      <c r="J41" s="44">
        <v>1.4</v>
      </c>
      <c r="K41" s="44" t="s">
        <v>43</v>
      </c>
      <c r="L41" s="47" t="s">
        <v>120</v>
      </c>
      <c r="M41" s="44" t="s">
        <v>102</v>
      </c>
      <c r="N41" s="44">
        <v>82</v>
      </c>
      <c r="O41" s="44" t="s">
        <v>52</v>
      </c>
      <c r="P41" s="45" t="s">
        <v>126</v>
      </c>
    </row>
    <row r="42" spans="1:16" ht="78" x14ac:dyDescent="0.3">
      <c r="A42" s="13" t="str">
        <f t="shared" si="1"/>
        <v>14.10.2025UB/EXP/20250036, DT.14.10.2025ONEU 135733-9UBIAMP 230525_113-224</v>
      </c>
      <c r="B42" s="13" t="str">
        <f t="shared" si="0"/>
        <v>UBIAMP 230525_113-224</v>
      </c>
      <c r="C42" s="44" t="s">
        <v>144</v>
      </c>
      <c r="D42" s="15" t="s">
        <v>16</v>
      </c>
      <c r="E42" s="44" t="s">
        <v>89</v>
      </c>
      <c r="F42" s="43">
        <v>2025</v>
      </c>
      <c r="G42" s="18" t="s">
        <v>145</v>
      </c>
      <c r="H42" s="44">
        <v>143</v>
      </c>
      <c r="I42" s="44" t="s">
        <v>146</v>
      </c>
      <c r="J42" s="44">
        <v>1.4</v>
      </c>
      <c r="K42" s="44" t="s">
        <v>43</v>
      </c>
      <c r="L42" s="47" t="s">
        <v>147</v>
      </c>
      <c r="M42" s="44" t="s">
        <v>102</v>
      </c>
      <c r="N42" s="44">
        <v>30</v>
      </c>
      <c r="O42" s="44" t="s">
        <v>52</v>
      </c>
      <c r="P42" s="45" t="s">
        <v>126</v>
      </c>
    </row>
    <row r="43" spans="1:16" ht="78" x14ac:dyDescent="0.3">
      <c r="A43" s="13" t="str">
        <f t="shared" si="1"/>
        <v>14.10.2025UB/EXP/20250036, DT.14.10.2025ONEU 593333-0UBIAMP 230525_225-336</v>
      </c>
      <c r="B43" s="13" t="str">
        <f t="shared" si="0"/>
        <v>UBIAMP 230525_225-336</v>
      </c>
      <c r="C43" s="44" t="s">
        <v>144</v>
      </c>
      <c r="D43" s="15" t="s">
        <v>16</v>
      </c>
      <c r="E43" s="44" t="s">
        <v>89</v>
      </c>
      <c r="F43" s="43">
        <v>2025</v>
      </c>
      <c r="G43" s="18" t="s">
        <v>145</v>
      </c>
      <c r="H43" s="44">
        <v>143</v>
      </c>
      <c r="I43" s="44" t="s">
        <v>148</v>
      </c>
      <c r="J43" s="44">
        <v>1.4</v>
      </c>
      <c r="K43" s="44" t="s">
        <v>43</v>
      </c>
      <c r="L43" s="44" t="s">
        <v>149</v>
      </c>
      <c r="M43" s="44" t="s">
        <v>102</v>
      </c>
      <c r="N43" s="44">
        <v>112</v>
      </c>
      <c r="O43" s="44" t="s">
        <v>56</v>
      </c>
      <c r="P43" s="45" t="s">
        <v>126</v>
      </c>
    </row>
    <row r="44" spans="1:16" ht="78" x14ac:dyDescent="0.3">
      <c r="A44" s="13" t="str">
        <f t="shared" si="1"/>
        <v>17.10.2025UB/EXP/20250037, DT.17.10.2025ONEU 317164-1UBITMP 100725_161-240</v>
      </c>
      <c r="B44" s="13" t="str">
        <f t="shared" si="0"/>
        <v>UBITMP 100725_161-240</v>
      </c>
      <c r="C44" s="44" t="s">
        <v>150</v>
      </c>
      <c r="D44" s="46" t="s">
        <v>61</v>
      </c>
      <c r="E44" s="44" t="s">
        <v>36</v>
      </c>
      <c r="F44" s="43">
        <v>2025</v>
      </c>
      <c r="G44" s="18" t="s">
        <v>151</v>
      </c>
      <c r="H44" s="44">
        <v>146</v>
      </c>
      <c r="I44" s="44" t="s">
        <v>152</v>
      </c>
      <c r="J44" s="44">
        <v>1</v>
      </c>
      <c r="K44" s="44" t="s">
        <v>64</v>
      </c>
      <c r="L44" s="44" t="s">
        <v>65</v>
      </c>
      <c r="M44" s="44" t="s">
        <v>65</v>
      </c>
      <c r="N44" s="44">
        <v>80</v>
      </c>
      <c r="O44" s="44" t="s">
        <v>87</v>
      </c>
      <c r="P44" s="45" t="s">
        <v>153</v>
      </c>
    </row>
    <row r="45" spans="1:16" ht="78" x14ac:dyDescent="0.3">
      <c r="A45" s="13" t="str">
        <f t="shared" si="1"/>
        <v>22.10.2025UB/EXP/20250038, DT.22.10.2025ONEU 502989-4UBITMP 090725_001-112</v>
      </c>
      <c r="B45" s="13" t="str">
        <f t="shared" si="0"/>
        <v>UBITMP 090725_001-112</v>
      </c>
      <c r="C45" s="48" t="s">
        <v>154</v>
      </c>
      <c r="D45" s="46" t="s">
        <v>61</v>
      </c>
      <c r="E45" s="44" t="s">
        <v>45</v>
      </c>
      <c r="F45" s="43">
        <v>2025</v>
      </c>
      <c r="G45" s="18" t="s">
        <v>155</v>
      </c>
      <c r="H45" s="44">
        <v>148</v>
      </c>
      <c r="I45" s="44" t="s">
        <v>156</v>
      </c>
      <c r="J45" s="44">
        <v>1.4</v>
      </c>
      <c r="K45" s="44" t="s">
        <v>64</v>
      </c>
      <c r="L45" s="44" t="s">
        <v>157</v>
      </c>
      <c r="M45" s="44" t="s">
        <v>157</v>
      </c>
      <c r="N45" s="44">
        <v>112</v>
      </c>
      <c r="O45" s="44" t="s">
        <v>49</v>
      </c>
      <c r="P45" s="45" t="s">
        <v>158</v>
      </c>
    </row>
    <row r="46" spans="1:16" ht="78" x14ac:dyDescent="0.3">
      <c r="A46" s="13" t="str">
        <f t="shared" si="1"/>
        <v>22.10.2025UB/EXP/20250038, DT.22.10.2025ONEU 176610-5UBITMP 090725_113-224</v>
      </c>
      <c r="B46" s="13" t="str">
        <f t="shared" si="0"/>
        <v>UBITMP 090725_113-224</v>
      </c>
      <c r="C46" s="49" t="s">
        <v>154</v>
      </c>
      <c r="D46" s="50" t="s">
        <v>61</v>
      </c>
      <c r="E46" s="51" t="s">
        <v>45</v>
      </c>
      <c r="F46" s="52">
        <v>2025</v>
      </c>
      <c r="G46" s="53" t="s">
        <v>155</v>
      </c>
      <c r="H46" s="51">
        <v>148</v>
      </c>
      <c r="I46" s="51" t="s">
        <v>159</v>
      </c>
      <c r="J46" s="51">
        <v>1.4</v>
      </c>
      <c r="K46" s="51" t="s">
        <v>64</v>
      </c>
      <c r="L46" s="51" t="s">
        <v>157</v>
      </c>
      <c r="M46" s="51" t="s">
        <v>157</v>
      </c>
      <c r="N46" s="51">
        <v>112</v>
      </c>
      <c r="O46" s="51" t="s">
        <v>52</v>
      </c>
      <c r="P46" s="54" t="s">
        <v>158</v>
      </c>
    </row>
    <row r="47" spans="1:16" ht="78" x14ac:dyDescent="0.3">
      <c r="A47" s="13" t="str">
        <f t="shared" si="1"/>
        <v>27.10.2025UB/EXP/20250040, DT.27.10.2025TCNU 482267-0UBIAMP 070625_001-113</v>
      </c>
      <c r="B47" s="13" t="str">
        <f t="shared" si="0"/>
        <v>UBIAMP 070625_001-113</v>
      </c>
      <c r="C47" s="44" t="s">
        <v>160</v>
      </c>
      <c r="D47" s="15" t="s">
        <v>16</v>
      </c>
      <c r="E47" s="44" t="s">
        <v>45</v>
      </c>
      <c r="F47" s="43">
        <v>2025</v>
      </c>
      <c r="G47" s="18" t="s">
        <v>161</v>
      </c>
      <c r="H47" s="44">
        <v>156</v>
      </c>
      <c r="I47" s="44" t="s">
        <v>162</v>
      </c>
      <c r="J47" s="44">
        <v>1.4</v>
      </c>
      <c r="K47" s="44" t="s">
        <v>43</v>
      </c>
      <c r="L47" s="44" t="s">
        <v>163</v>
      </c>
      <c r="M47" s="44" t="s">
        <v>163</v>
      </c>
      <c r="N47" s="44">
        <v>112</v>
      </c>
      <c r="O47" s="44" t="s">
        <v>164</v>
      </c>
      <c r="P47" s="45" t="s">
        <v>158</v>
      </c>
    </row>
    <row r="48" spans="1:16" ht="78" x14ac:dyDescent="0.3">
      <c r="A48" s="13" t="str">
        <f t="shared" si="1"/>
        <v>27.10.2025UB/EXP/20250041, DT.27.10.2025ONEU 081073-3UBITMP 090725_225-336</v>
      </c>
      <c r="B48" s="13" t="str">
        <f t="shared" si="0"/>
        <v>UBITMP 090725_225-336</v>
      </c>
      <c r="C48" s="44" t="s">
        <v>160</v>
      </c>
      <c r="D48" s="46" t="s">
        <v>61</v>
      </c>
      <c r="E48" s="44" t="s">
        <v>45</v>
      </c>
      <c r="F48" s="43">
        <v>2025</v>
      </c>
      <c r="G48" s="18" t="s">
        <v>165</v>
      </c>
      <c r="H48" s="44">
        <v>155</v>
      </c>
      <c r="I48" s="44" t="s">
        <v>166</v>
      </c>
      <c r="J48" s="44">
        <v>1.4</v>
      </c>
      <c r="K48" s="44" t="s">
        <v>64</v>
      </c>
      <c r="L48" s="44" t="s">
        <v>157</v>
      </c>
      <c r="M48" s="44" t="s">
        <v>157</v>
      </c>
      <c r="N48" s="44">
        <v>112</v>
      </c>
      <c r="O48" s="44" t="s">
        <v>56</v>
      </c>
      <c r="P48" s="45" t="s">
        <v>158</v>
      </c>
    </row>
    <row r="49" spans="1:16" ht="78" x14ac:dyDescent="0.3">
      <c r="A49" s="13" t="str">
        <f t="shared" si="1"/>
        <v>10.11.2025UB/EXP/20250042A, DT.10.11.2025MTMU 288971-8UBIPGP 300825_001-016</v>
      </c>
      <c r="B49" s="13" t="str">
        <f t="shared" si="0"/>
        <v>UBIPGP 300825_001-016</v>
      </c>
      <c r="C49" s="44" t="s">
        <v>167</v>
      </c>
      <c r="D49" s="15" t="s">
        <v>16</v>
      </c>
      <c r="E49" s="44" t="s">
        <v>17</v>
      </c>
      <c r="F49" s="43">
        <v>2025</v>
      </c>
      <c r="G49" s="18" t="s">
        <v>168</v>
      </c>
      <c r="H49" s="44">
        <v>167</v>
      </c>
      <c r="I49" s="44" t="s">
        <v>169</v>
      </c>
      <c r="J49" s="44"/>
      <c r="K49" s="44" t="s">
        <v>170</v>
      </c>
      <c r="L49" s="44" t="s">
        <v>171</v>
      </c>
      <c r="M49" s="44" t="s">
        <v>172</v>
      </c>
      <c r="N49" s="44">
        <v>16</v>
      </c>
      <c r="O49" s="44" t="s">
        <v>173</v>
      </c>
      <c r="P49" s="45" t="s">
        <v>174</v>
      </c>
    </row>
    <row r="50" spans="1:16" ht="78" x14ac:dyDescent="0.3">
      <c r="A50" s="13" t="str">
        <f t="shared" si="1"/>
        <v>12.11.2025UB/EXP/20250043, DT.12.11.2025GAOU 737342-9UBIAMP 070625_113-224</v>
      </c>
      <c r="B50" s="13" t="str">
        <f t="shared" si="0"/>
        <v>UBIAMP 070625_113-224</v>
      </c>
      <c r="C50" s="44" t="s">
        <v>175</v>
      </c>
      <c r="D50" s="15" t="s">
        <v>16</v>
      </c>
      <c r="E50" s="44" t="s">
        <v>45</v>
      </c>
      <c r="F50" s="43">
        <v>2025</v>
      </c>
      <c r="G50" s="18" t="s">
        <v>176</v>
      </c>
      <c r="H50" s="44">
        <v>168</v>
      </c>
      <c r="I50" s="44" t="s">
        <v>177</v>
      </c>
      <c r="J50" s="44">
        <v>1.4</v>
      </c>
      <c r="K50" s="44" t="s">
        <v>43</v>
      </c>
      <c r="L50" s="44" t="s">
        <v>163</v>
      </c>
      <c r="M50" s="44" t="s">
        <v>163</v>
      </c>
      <c r="N50" s="44">
        <v>112</v>
      </c>
      <c r="O50" s="44" t="s">
        <v>52</v>
      </c>
      <c r="P50" s="45" t="s">
        <v>158</v>
      </c>
    </row>
    <row r="51" spans="1:16" ht="78" x14ac:dyDescent="0.3">
      <c r="A51" s="13" t="str">
        <f t="shared" si="1"/>
        <v>13.11.2025UB/EXP/20250044, DT.13.11.2025MSMU 462232-8UBIAMP 070625_225-336</v>
      </c>
      <c r="B51" s="13" t="str">
        <f t="shared" si="0"/>
        <v>UBIAMP 070625_225-336</v>
      </c>
      <c r="C51" s="44" t="s">
        <v>178</v>
      </c>
      <c r="D51" s="15" t="s">
        <v>16</v>
      </c>
      <c r="E51" s="44" t="s">
        <v>45</v>
      </c>
      <c r="F51" s="43">
        <v>2025</v>
      </c>
      <c r="G51" s="18" t="s">
        <v>179</v>
      </c>
      <c r="H51" s="44">
        <v>171</v>
      </c>
      <c r="I51" s="44" t="s">
        <v>180</v>
      </c>
      <c r="J51" s="44">
        <v>1.4</v>
      </c>
      <c r="K51" s="44" t="s">
        <v>43</v>
      </c>
      <c r="L51" s="44" t="s">
        <v>163</v>
      </c>
      <c r="M51" s="44" t="s">
        <v>163</v>
      </c>
      <c r="N51" s="44">
        <v>112</v>
      </c>
      <c r="O51" s="44" t="s">
        <v>56</v>
      </c>
      <c r="P51" s="45" t="s">
        <v>158</v>
      </c>
    </row>
    <row r="52" spans="1:16" ht="78" x14ac:dyDescent="0.3">
      <c r="A52" s="13" t="str">
        <f t="shared" si="1"/>
        <v>13.11.2025UB/EXP/20250044, DT.13.11.2025MSCU 531057-7UBIAMP 070625_336-448</v>
      </c>
      <c r="B52" s="13" t="str">
        <f t="shared" si="0"/>
        <v>UBIAMP 070625_336-448</v>
      </c>
      <c r="C52" s="44" t="s">
        <v>178</v>
      </c>
      <c r="D52" s="15" t="s">
        <v>16</v>
      </c>
      <c r="E52" s="44" t="s">
        <v>45</v>
      </c>
      <c r="F52" s="43">
        <v>2025</v>
      </c>
      <c r="G52" s="18" t="s">
        <v>179</v>
      </c>
      <c r="H52" s="44">
        <v>171</v>
      </c>
      <c r="I52" s="44" t="s">
        <v>181</v>
      </c>
      <c r="J52" s="44">
        <v>1.4</v>
      </c>
      <c r="K52" s="44" t="s">
        <v>43</v>
      </c>
      <c r="L52" s="47" t="s">
        <v>163</v>
      </c>
      <c r="M52" s="44" t="s">
        <v>163</v>
      </c>
      <c r="N52" s="44">
        <v>64</v>
      </c>
      <c r="O52" s="44" t="s">
        <v>182</v>
      </c>
      <c r="P52" s="45" t="s">
        <v>158</v>
      </c>
    </row>
    <row r="53" spans="1:16" ht="78" x14ac:dyDescent="0.3">
      <c r="A53" s="13" t="str">
        <f t="shared" si="1"/>
        <v>13.11.2025UB/EXP/20250044, DT.13.11.2025MSCU 531057-7UBIAMP 070625_336-448</v>
      </c>
      <c r="B53" s="13" t="str">
        <f t="shared" si="0"/>
        <v>UBIAMP 070625_336-448</v>
      </c>
      <c r="C53" s="44" t="s">
        <v>178</v>
      </c>
      <c r="D53" s="15" t="s">
        <v>16</v>
      </c>
      <c r="E53" s="44" t="s">
        <v>45</v>
      </c>
      <c r="F53" s="43">
        <v>2025</v>
      </c>
      <c r="G53" s="18" t="s">
        <v>179</v>
      </c>
      <c r="H53" s="44">
        <v>171</v>
      </c>
      <c r="I53" s="44" t="s">
        <v>181</v>
      </c>
      <c r="J53" s="44">
        <v>1.4</v>
      </c>
      <c r="K53" s="44" t="s">
        <v>43</v>
      </c>
      <c r="L53" s="47" t="s">
        <v>40</v>
      </c>
      <c r="M53" s="44" t="s">
        <v>163</v>
      </c>
      <c r="N53" s="44">
        <v>48</v>
      </c>
      <c r="O53" s="44" t="s">
        <v>182</v>
      </c>
      <c r="P53" s="45" t="s">
        <v>158</v>
      </c>
    </row>
    <row r="54" spans="1:16" ht="78" x14ac:dyDescent="0.3">
      <c r="A54" s="13" t="str">
        <f t="shared" si="1"/>
        <v>05.12.2025UB/EXP/20250045, DT.05.12.2025TGCU 234306-0UBIAMP 200525_241-320</v>
      </c>
      <c r="B54" s="13" t="str">
        <f t="shared" si="0"/>
        <v>UBIAMP 200525_241-320</v>
      </c>
      <c r="C54" s="44" t="s">
        <v>183</v>
      </c>
      <c r="D54" s="15" t="s">
        <v>16</v>
      </c>
      <c r="E54" s="55" t="s">
        <v>36</v>
      </c>
      <c r="F54" s="56">
        <v>2025</v>
      </c>
      <c r="G54" s="18" t="s">
        <v>184</v>
      </c>
      <c r="H54" s="44">
        <v>195</v>
      </c>
      <c r="I54" s="55" t="s">
        <v>185</v>
      </c>
      <c r="J54" s="55">
        <v>1</v>
      </c>
      <c r="K54" s="55" t="s">
        <v>43</v>
      </c>
      <c r="L54" s="55" t="s">
        <v>40</v>
      </c>
      <c r="M54" s="55" t="s">
        <v>40</v>
      </c>
      <c r="N54" s="55">
        <v>80</v>
      </c>
      <c r="O54" s="55" t="s">
        <v>23</v>
      </c>
      <c r="P54" s="57" t="s">
        <v>153</v>
      </c>
    </row>
    <row r="55" spans="1:16" ht="78" x14ac:dyDescent="0.3">
      <c r="A55" s="13" t="str">
        <f t="shared" si="1"/>
        <v>05.12.2025UB/EXP/20250046, DT.05.12.2025TGBU 318146-4UBITMP 100725_241-320</v>
      </c>
      <c r="B55" s="13" t="str">
        <f t="shared" si="0"/>
        <v>UBITMP 100725_241-320</v>
      </c>
      <c r="C55" s="44" t="s">
        <v>183</v>
      </c>
      <c r="D55" s="58" t="s">
        <v>61</v>
      </c>
      <c r="E55" s="55" t="s">
        <v>36</v>
      </c>
      <c r="F55" s="56">
        <v>2025</v>
      </c>
      <c r="G55" s="18" t="s">
        <v>186</v>
      </c>
      <c r="H55" s="55">
        <v>196</v>
      </c>
      <c r="I55" s="55" t="s">
        <v>187</v>
      </c>
      <c r="J55" s="55">
        <v>1</v>
      </c>
      <c r="K55" s="55" t="s">
        <v>64</v>
      </c>
      <c r="L55" s="55" t="s">
        <v>188</v>
      </c>
      <c r="M55" s="55" t="s">
        <v>65</v>
      </c>
      <c r="N55" s="55">
        <v>80</v>
      </c>
      <c r="O55" s="55" t="s">
        <v>23</v>
      </c>
      <c r="P55" s="57" t="s">
        <v>153</v>
      </c>
    </row>
    <row r="56" spans="1:16" ht="78" x14ac:dyDescent="0.3">
      <c r="A56" s="13" t="str">
        <f t="shared" si="1"/>
        <v>08.12.2025UB/EXP/20250047, DT.08.12.2025CMAU 712584-8UBITMP 070725_001-112</v>
      </c>
      <c r="B56" s="13" t="str">
        <f t="shared" si="0"/>
        <v>UBITMP 070725_001-112</v>
      </c>
      <c r="C56" s="44" t="s">
        <v>189</v>
      </c>
      <c r="D56" s="58" t="s">
        <v>61</v>
      </c>
      <c r="E56" s="55" t="s">
        <v>89</v>
      </c>
      <c r="F56" s="56">
        <v>2025</v>
      </c>
      <c r="G56" s="18" t="s">
        <v>190</v>
      </c>
      <c r="H56" s="55">
        <v>205</v>
      </c>
      <c r="I56" s="55" t="s">
        <v>191</v>
      </c>
      <c r="J56" s="55">
        <v>1.4</v>
      </c>
      <c r="K56" s="55" t="s">
        <v>64</v>
      </c>
      <c r="L56" s="55" t="s">
        <v>192</v>
      </c>
      <c r="M56" s="55" t="s">
        <v>192</v>
      </c>
      <c r="N56" s="55">
        <v>112</v>
      </c>
      <c r="O56" s="55" t="s">
        <v>49</v>
      </c>
      <c r="P56" s="57" t="s">
        <v>126</v>
      </c>
    </row>
    <row r="57" spans="1:16" ht="78" x14ac:dyDescent="0.3">
      <c r="A57" s="13" t="str">
        <f t="shared" si="1"/>
        <v>08.12.2025UB/EXP/20250047, DT.08.12.2025CMAU 337641-8UBITMP 070725_113-224</v>
      </c>
      <c r="B57" s="13" t="str">
        <f t="shared" si="0"/>
        <v>UBITMP 070725_113-224</v>
      </c>
      <c r="C57" s="44" t="s">
        <v>189</v>
      </c>
      <c r="D57" s="58" t="s">
        <v>61</v>
      </c>
      <c r="E57" s="55" t="s">
        <v>89</v>
      </c>
      <c r="F57" s="56">
        <v>2025</v>
      </c>
      <c r="G57" s="18" t="s">
        <v>190</v>
      </c>
      <c r="H57" s="55">
        <v>205</v>
      </c>
      <c r="I57" s="55" t="s">
        <v>193</v>
      </c>
      <c r="J57" s="55">
        <v>1.4</v>
      </c>
      <c r="K57" s="55" t="s">
        <v>64</v>
      </c>
      <c r="L57" s="55" t="s">
        <v>192</v>
      </c>
      <c r="M57" s="55" t="s">
        <v>192</v>
      </c>
      <c r="N57" s="55">
        <v>112</v>
      </c>
      <c r="O57" s="55" t="s">
        <v>52</v>
      </c>
      <c r="P57" s="57" t="s">
        <v>126</v>
      </c>
    </row>
    <row r="58" spans="1:16" ht="78" x14ac:dyDescent="0.3">
      <c r="A58" s="13" t="str">
        <f t="shared" si="1"/>
        <v>10.12.2025UB/EXP/20250048, DT.10.12.2025MSNU 737376-8UBITMP 080725_001-112</v>
      </c>
      <c r="B58" s="13" t="str">
        <f t="shared" si="0"/>
        <v>UBITMP 080725_001-112</v>
      </c>
      <c r="C58" s="44" t="s">
        <v>194</v>
      </c>
      <c r="D58" s="58" t="s">
        <v>61</v>
      </c>
      <c r="E58" s="55" t="s">
        <v>45</v>
      </c>
      <c r="F58" s="56">
        <v>2025</v>
      </c>
      <c r="G58" s="18" t="s">
        <v>195</v>
      </c>
      <c r="H58" s="55">
        <v>207</v>
      </c>
      <c r="I58" s="55" t="s">
        <v>196</v>
      </c>
      <c r="J58" s="55">
        <v>1.4</v>
      </c>
      <c r="K58" s="55" t="s">
        <v>64</v>
      </c>
      <c r="L58" s="55" t="s">
        <v>188</v>
      </c>
      <c r="M58" s="55" t="s">
        <v>188</v>
      </c>
      <c r="N58" s="55">
        <v>112</v>
      </c>
      <c r="O58" s="55" t="s">
        <v>49</v>
      </c>
      <c r="P58" s="57" t="s">
        <v>158</v>
      </c>
    </row>
    <row r="59" spans="1:16" ht="78" x14ac:dyDescent="0.3">
      <c r="A59" s="13" t="str">
        <f t="shared" si="1"/>
        <v>10.12.2025UB/EXP/20250048, DT.10.12.2025MSNU 965481-0UBITMP 080725_113-224</v>
      </c>
      <c r="B59" s="13" t="str">
        <f t="shared" si="0"/>
        <v>UBITMP 080725_113-224</v>
      </c>
      <c r="C59" s="44" t="s">
        <v>194</v>
      </c>
      <c r="D59" s="58" t="s">
        <v>61</v>
      </c>
      <c r="E59" s="55" t="s">
        <v>45</v>
      </c>
      <c r="F59" s="56">
        <v>2025</v>
      </c>
      <c r="G59" s="18" t="s">
        <v>195</v>
      </c>
      <c r="H59" s="55">
        <v>207</v>
      </c>
      <c r="I59" s="55" t="s">
        <v>197</v>
      </c>
      <c r="J59" s="55">
        <v>1.4</v>
      </c>
      <c r="K59" s="55" t="s">
        <v>64</v>
      </c>
      <c r="L59" s="55" t="s">
        <v>188</v>
      </c>
      <c r="M59" s="55" t="s">
        <v>188</v>
      </c>
      <c r="N59" s="55">
        <v>112</v>
      </c>
      <c r="O59" s="55" t="s">
        <v>52</v>
      </c>
      <c r="P59" s="57" t="s">
        <v>158</v>
      </c>
    </row>
  </sheetData>
  <conditionalFormatting sqref="I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Dispatch_fact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Karunakar</dc:creator>
  <cp:lastModifiedBy>Karunakar</cp:lastModifiedBy>
  <dcterms:created xsi:type="dcterms:W3CDTF">2026-03-09T03:05:35Z</dcterms:created>
  <dcterms:modified xsi:type="dcterms:W3CDTF">2026-03-09T03:08:08Z</dcterms:modified>
</cp:coreProperties>
</file>